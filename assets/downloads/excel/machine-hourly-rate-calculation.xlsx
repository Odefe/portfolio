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ofl\Desktop\Files\Upwork\Machine Hourly Rate Calculation\"/>
    </mc:Choice>
  </mc:AlternateContent>
  <xr:revisionPtr revIDLastSave="0" documentId="13_ncr:1_{6ECEA266-AEDF-4A14-BA45-0895B8F20435}" xr6:coauthVersionLast="47" xr6:coauthVersionMax="47" xr10:uidLastSave="{00000000-0000-0000-0000-000000000000}"/>
  <bookViews>
    <workbookView xWindow="-120" yWindow="-120" windowWidth="20730" windowHeight="11160" firstSheet="1" activeTab="3" xr2:uid="{B98ECADB-7825-4208-853F-AFC5C30B2481}"/>
  </bookViews>
  <sheets>
    <sheet name="Front Page" sheetId="5" r:id="rId1"/>
    <sheet name="Machine Details &amp; Fixed Cost " sheetId="1" r:id="rId2"/>
    <sheet name="Variable &amp; Labour Cost" sheetId="2" r:id="rId3"/>
    <sheet name="Metal's Calculator" sheetId="4" r:id="rId4"/>
    <sheet name="Dropdown menu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4" l="1"/>
  <c r="D21" i="4"/>
  <c r="D7" i="4"/>
  <c r="D6" i="4" s="1"/>
  <c r="D14" i="4"/>
  <c r="D13" i="4" s="1"/>
  <c r="E13" i="5"/>
  <c r="E14" i="5" s="1"/>
  <c r="E15" i="5" s="1"/>
  <c r="E16" i="5" s="1"/>
  <c r="B28" i="5" l="1"/>
  <c r="D15" i="4"/>
  <c r="H10" i="5"/>
  <c r="H9" i="5"/>
  <c r="D8" i="4"/>
  <c r="K11" i="2"/>
  <c r="J25" i="1"/>
  <c r="J13" i="1"/>
  <c r="J12" i="1"/>
  <c r="J11" i="1"/>
  <c r="D13" i="1"/>
  <c r="D12" i="1"/>
  <c r="D11" i="1"/>
  <c r="B33" i="5" l="1"/>
  <c r="K11" i="5"/>
  <c r="B14" i="5" s="1"/>
  <c r="B15" i="5" s="1"/>
  <c r="B26" i="5"/>
  <c r="K28" i="2"/>
  <c r="J14" i="1"/>
  <c r="J16" i="1" s="1"/>
  <c r="D14" i="1"/>
  <c r="K17" i="2" l="1"/>
  <c r="K16" i="2"/>
  <c r="J21" i="1"/>
  <c r="J24" i="1" s="1"/>
  <c r="C28" i="5" l="1"/>
  <c r="B29" i="5" s="1"/>
  <c r="E23" i="5"/>
  <c r="K18" i="2"/>
  <c r="K19" i="2" s="1"/>
  <c r="J22" i="1"/>
  <c r="J23" i="1" s="1"/>
  <c r="J26" i="1" s="1"/>
  <c r="J27" i="1" s="1"/>
  <c r="K30" i="2" l="1"/>
  <c r="B31" i="5" s="1"/>
  <c r="B32" i="5" s="1"/>
  <c r="B34" i="5" s="1"/>
  <c r="B35" i="5" s="1"/>
  <c r="E35" i="5" s="1"/>
  <c r="E18" i="5" l="1"/>
  <c r="H19" i="5" s="1"/>
  <c r="H21" i="5" s="1"/>
  <c r="B18" i="5" l="1"/>
  <c r="E20" i="5"/>
  <c r="E21" i="5" s="1"/>
  <c r="D22" i="4" l="1"/>
  <c r="H18" i="4" s="1"/>
</calcChain>
</file>

<file path=xl/sharedStrings.xml><?xml version="1.0" encoding="utf-8"?>
<sst xmlns="http://schemas.openxmlformats.org/spreadsheetml/2006/main" count="236" uniqueCount="187">
  <si>
    <t>Machine Details &amp; Fixed Cost</t>
  </si>
  <si>
    <t>Machine Name</t>
  </si>
  <si>
    <t>Model No.</t>
  </si>
  <si>
    <t xml:space="preserve">Base Currency </t>
  </si>
  <si>
    <t>Year of Manufacture</t>
  </si>
  <si>
    <t>Date of Entry</t>
  </si>
  <si>
    <t>Site Selection</t>
  </si>
  <si>
    <t>Machine Acquisition Cost</t>
  </si>
  <si>
    <t>M/c Landed Cost</t>
  </si>
  <si>
    <t xml:space="preserve">Civil Expenses </t>
  </si>
  <si>
    <t>Other Expenses</t>
  </si>
  <si>
    <t>%</t>
  </si>
  <si>
    <t>Total Investment</t>
  </si>
  <si>
    <t>Actual Working Hours</t>
  </si>
  <si>
    <t>Shift Model</t>
  </si>
  <si>
    <t>Working Days/Month</t>
  </si>
  <si>
    <t>No. of Shifts/Day</t>
  </si>
  <si>
    <t>No.of Hours/Shift</t>
  </si>
  <si>
    <t>Production Hour per Year</t>
  </si>
  <si>
    <t>Actual Working Hours/Year</t>
  </si>
  <si>
    <t>Hr</t>
  </si>
  <si>
    <t>Fixed Cost</t>
  </si>
  <si>
    <t>Age of Machine</t>
  </si>
  <si>
    <t>Interest Rate</t>
  </si>
  <si>
    <t>Insurance Cost</t>
  </si>
  <si>
    <t>Required Gross/Area</t>
  </si>
  <si>
    <t>Space Rent</t>
  </si>
  <si>
    <t>Foot Print Factor</t>
  </si>
  <si>
    <t>Year(s)</t>
  </si>
  <si>
    <t>m^2</t>
  </si>
  <si>
    <t>Salvage Value -End of Life</t>
  </si>
  <si>
    <t>Average Annual Investment</t>
  </si>
  <si>
    <t>Interest and Insurance Cost</t>
  </si>
  <si>
    <t>Calculatory depreciation</t>
  </si>
  <si>
    <t>Space Cost</t>
  </si>
  <si>
    <t>Total Fixed Cost INR</t>
  </si>
  <si>
    <t>Total Fixed Cost /Hr</t>
  </si>
  <si>
    <t>/Hr</t>
  </si>
  <si>
    <t>Variable &amp; Labour Cost</t>
  </si>
  <si>
    <t>Variable Cost</t>
  </si>
  <si>
    <t>Connected Power Load</t>
  </si>
  <si>
    <t>Diesel Consumption</t>
  </si>
  <si>
    <t>Any Other Fuel Consumption</t>
  </si>
  <si>
    <t>Performance capacity utilization</t>
  </si>
  <si>
    <t>KW</t>
  </si>
  <si>
    <t>Ltr/Hr</t>
  </si>
  <si>
    <t>Machine Details</t>
  </si>
  <si>
    <t>Total Energy Cost</t>
  </si>
  <si>
    <t>Electricity Cost</t>
  </si>
  <si>
    <t>Diesel Cost</t>
  </si>
  <si>
    <t>Fuel Cost</t>
  </si>
  <si>
    <t>/KWH</t>
  </si>
  <si>
    <t>/Ltr</t>
  </si>
  <si>
    <t>%Conrtibution</t>
  </si>
  <si>
    <t>Energy Cost</t>
  </si>
  <si>
    <t>Repair Maintenance &amp; Consumables (Except Tooling)</t>
  </si>
  <si>
    <t>Repair &amp; Maint.</t>
  </si>
  <si>
    <t>Operating Supplies</t>
  </si>
  <si>
    <t>%p.a</t>
  </si>
  <si>
    <t>%of investment p.a</t>
  </si>
  <si>
    <t>Or</t>
  </si>
  <si>
    <t>/Month</t>
  </si>
  <si>
    <t>Repair &amp; Maint. Cost</t>
  </si>
  <si>
    <t>Operating Supplies Cost</t>
  </si>
  <si>
    <t>Repair Maint &amp; Consumables Cost</t>
  </si>
  <si>
    <t>Total Variable Costs</t>
  </si>
  <si>
    <t>Labour Cost</t>
  </si>
  <si>
    <t>Skilled Operators</t>
  </si>
  <si>
    <t>Semi-Skilled Operators</t>
  </si>
  <si>
    <t>Unskilled Operators</t>
  </si>
  <si>
    <t>Per Shift</t>
  </si>
  <si>
    <t>Cost/Operator/Month</t>
  </si>
  <si>
    <t>Machine Names</t>
  </si>
  <si>
    <t>Plastic Injection Moulding</t>
  </si>
  <si>
    <t>Another Machine Name Inserted Here</t>
  </si>
  <si>
    <t>Machine Name Inserted</t>
  </si>
  <si>
    <t>iArmour350</t>
  </si>
  <si>
    <t>iArmour279</t>
  </si>
  <si>
    <t>iShield80</t>
  </si>
  <si>
    <t>India-Punjab-Ludhiana</t>
  </si>
  <si>
    <t>India-Maharashtra -Mumbai</t>
  </si>
  <si>
    <t>India-West Bengal-Kolkata</t>
  </si>
  <si>
    <t>Machine-Hour Rate</t>
  </si>
  <si>
    <t>Installation Expenses</t>
  </si>
  <si>
    <t>%Utilization</t>
  </si>
  <si>
    <t>Days</t>
  </si>
  <si>
    <t>Hours</t>
  </si>
  <si>
    <t>No. of shifts</t>
  </si>
  <si>
    <t>iShield81</t>
  </si>
  <si>
    <t>2 Shift -26 Days-8 Hours</t>
  </si>
  <si>
    <t>2 Shift -14 Days-8 Hours</t>
  </si>
  <si>
    <t>2 Shift -30 Days-8 Hours</t>
  </si>
  <si>
    <t>3 Shift -60 Days-4 Hours</t>
  </si>
  <si>
    <t>Operational Efficiency</t>
  </si>
  <si>
    <t>(m^2/month)</t>
  </si>
  <si>
    <t>Dollars</t>
  </si>
  <si>
    <t>Metals</t>
  </si>
  <si>
    <t>Candium</t>
  </si>
  <si>
    <t>Chromium</t>
  </si>
  <si>
    <t>Copper</t>
  </si>
  <si>
    <t>Gold</t>
  </si>
  <si>
    <t>Nickel</t>
  </si>
  <si>
    <t>Platinum</t>
  </si>
  <si>
    <t>Rhodium</t>
  </si>
  <si>
    <t>Silver</t>
  </si>
  <si>
    <t>Tin</t>
  </si>
  <si>
    <t>Zinc</t>
  </si>
  <si>
    <t>Price:</t>
  </si>
  <si>
    <t>Coverage (grams/sq. ft.):</t>
  </si>
  <si>
    <t>Thickness (µm):</t>
  </si>
  <si>
    <r>
      <t>Density  (g/cm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</si>
  <si>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Grams Deposited (grams):</t>
  </si>
  <si>
    <t>Date:</t>
  </si>
  <si>
    <t>Editor:</t>
  </si>
  <si>
    <t>Version:</t>
  </si>
  <si>
    <t>Rev 1</t>
  </si>
  <si>
    <t>Customer:</t>
  </si>
  <si>
    <t>Project description:</t>
  </si>
  <si>
    <t>Article description:</t>
  </si>
  <si>
    <t>Weight:</t>
  </si>
  <si>
    <t>-</t>
  </si>
  <si>
    <t>Program description:</t>
  </si>
  <si>
    <t>Article No.:</t>
  </si>
  <si>
    <t>Area:</t>
  </si>
  <si>
    <t>Project lifetime:</t>
  </si>
  <si>
    <t>Annual volume:</t>
  </si>
  <si>
    <t>Length:</t>
  </si>
  <si>
    <t>SOP:</t>
  </si>
  <si>
    <t>Permissible variation ∓:</t>
  </si>
  <si>
    <t>Width:</t>
  </si>
  <si>
    <t>EOP:</t>
  </si>
  <si>
    <t>Surface:</t>
  </si>
  <si>
    <t>Height:</t>
  </si>
  <si>
    <t>Layer thickness:</t>
  </si>
  <si>
    <t>min. Std</t>
  </si>
  <si>
    <t>max. Std</t>
  </si>
  <si>
    <t>Location:</t>
  </si>
  <si>
    <t>Plating window (length):</t>
  </si>
  <si>
    <t>Pcs. per row (horizontal):</t>
  </si>
  <si>
    <t>Plating line:</t>
  </si>
  <si>
    <t>Plating window (height):</t>
  </si>
  <si>
    <t>Pcs. per column (vertical):</t>
  </si>
  <si>
    <t>Process:</t>
  </si>
  <si>
    <t>Plating window (width):</t>
  </si>
  <si>
    <t>No. of sides (faces):</t>
  </si>
  <si>
    <t>Pieces per flight bar:</t>
  </si>
  <si>
    <t xml:space="preserve">Annual line capacity (flight bars): </t>
  </si>
  <si>
    <t>Requirement per week:</t>
  </si>
  <si>
    <t>(Note: considered 50 weeks per year)</t>
  </si>
  <si>
    <t>Flight bars annual RFQ article:</t>
  </si>
  <si>
    <t>Requirement per day:</t>
  </si>
  <si>
    <t>(Note: considered 6 days per week)</t>
  </si>
  <si>
    <t>Line occupancy for RFQ article:</t>
  </si>
  <si>
    <t>Necessary flight bars:</t>
  </si>
  <si>
    <t>Flight Bars to be purchased</t>
  </si>
  <si>
    <t>Price per flight bar:</t>
  </si>
  <si>
    <t>Price per piece:</t>
  </si>
  <si>
    <t>Annual sales volume:</t>
  </si>
  <si>
    <t>Sales volume total project lifetime:</t>
  </si>
  <si>
    <t>Price valuation:</t>
  </si>
  <si>
    <t>Price for tooling per flight bar:</t>
  </si>
  <si>
    <t>Price for tooling:</t>
  </si>
  <si>
    <t>Pieces per Bar</t>
  </si>
  <si>
    <t xml:space="preserve">Bars per Hr </t>
  </si>
  <si>
    <t xml:space="preserve">Bars Available </t>
  </si>
  <si>
    <t xml:space="preserve">Pieces per Hour </t>
  </si>
  <si>
    <t xml:space="preserve">Material Rate Hr </t>
  </si>
  <si>
    <t>Production Cost  Per Piece</t>
  </si>
  <si>
    <t xml:space="preserve">Material Cost per Piece </t>
  </si>
  <si>
    <t>Material + Production Total</t>
  </si>
  <si>
    <t>Total Selling Price</t>
  </si>
  <si>
    <t xml:space="preserve">Target Profit </t>
  </si>
  <si>
    <t>United States-New York-New York City</t>
  </si>
  <si>
    <t>United States-Florida-Miami</t>
  </si>
  <si>
    <t>United States-Illinois-Chicago</t>
  </si>
  <si>
    <r>
      <t>Price per dm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:</t>
    </r>
  </si>
  <si>
    <r>
      <t>Benchmark [USD per dm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]:</t>
    </r>
  </si>
  <si>
    <t>1st Layer:</t>
  </si>
  <si>
    <t>2nd Layer:</t>
  </si>
  <si>
    <t>3rd Layer:</t>
  </si>
  <si>
    <r>
      <t>Surface Area (dm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/part):</t>
    </r>
  </si>
  <si>
    <t>Select Metal(s):</t>
  </si>
  <si>
    <t>1st Layer Cost:</t>
  </si>
  <si>
    <t>2nd Layer Cost:</t>
  </si>
  <si>
    <t>3rd Layer Cost:</t>
  </si>
  <si>
    <t>Total Metal Cost: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</si>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</sst>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&quot;$&quot;#,##0"/>
    <numFmt numFmtId="165" formatCode="&quot;$&quot;#,##0.00"/>
    <numFmt numFmtId="166" formatCode="&quot;$&quot;#,##0.0"/>
    <numFmt numFmtId="167" formatCode="0.0"/>
    <numFmt numFmtId="168" formatCode="0.0000"/>
    <numFmt numFmtId="169" formatCode="#,##0.000&quot; kg&quot;"/>
    <numFmt numFmtId="170" formatCode="#,##0.0&quot; dm2&quot;"/>
    <numFmt numFmtId="171" formatCode="#,##0&quot; pcs.&quot;"/>
    <numFmt numFmtId="172" formatCode="#,##0&quot; mm&quot;"/>
    <numFmt numFmtId="173" formatCode="_-* #,##0.00_-;\-* #,##0.00_-;_-* &quot;-&quot;??_-;_-@_-"/>
    <numFmt numFmtId="174" formatCode="_-* #,##0_-;\-* #,##0_-;_-* &quot;-&quot;??_-;_-@_-"/>
    <numFmt numFmtId="175" formatCode="0.000%"/>
    <numFmt numFmtId="176" formatCode="#,##0.00&quot; flight bars&quot;"/>
    <numFmt numFmtId="177" formatCode="&quot;USD &quot;_-* #,##0.00_-;\-* #,##0.00_-;_-* &quot;-&quot;??_-;_-@_-"/>
    <numFmt numFmtId="178" formatCode="&quot;USD &quot;#,##0.00"/>
    <numFmt numFmtId="179" formatCode="&quot;USD &quot;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2" borderId="1" applyNumberFormat="0" applyAlignment="0" applyProtection="0"/>
  </cellStyleXfs>
  <cellXfs count="11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Protection="1"/>
    <xf numFmtId="0" fontId="1" fillId="0" borderId="0" xfId="0" applyFont="1" applyProtection="1"/>
    <xf numFmtId="0" fontId="1" fillId="0" borderId="0" xfId="0" applyFont="1" applyProtection="1">
      <protection locked="0"/>
    </xf>
    <xf numFmtId="0" fontId="0" fillId="0" borderId="0" xfId="0" applyFont="1" applyProtection="1"/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164" fontId="1" fillId="0" borderId="0" xfId="0" applyNumberFormat="1" applyFont="1" applyAlignment="1" applyProtection="1">
      <alignment horizontal="center"/>
    </xf>
    <xf numFmtId="164" fontId="0" fillId="0" borderId="0" xfId="0" applyNumberFormat="1" applyProtection="1"/>
    <xf numFmtId="165" fontId="0" fillId="0" borderId="0" xfId="0" applyNumberFormat="1" applyProtection="1"/>
    <xf numFmtId="166" fontId="0" fillId="0" borderId="0" xfId="0" applyNumberFormat="1" applyProtection="1"/>
    <xf numFmtId="165" fontId="1" fillId="0" borderId="0" xfId="0" applyNumberFormat="1" applyFont="1" applyProtection="1"/>
    <xf numFmtId="167" fontId="1" fillId="0" borderId="0" xfId="0" applyNumberFormat="1" applyFont="1"/>
    <xf numFmtId="167" fontId="0" fillId="0" borderId="0" xfId="0" applyNumberFormat="1"/>
    <xf numFmtId="174" fontId="9" fillId="0" borderId="0" xfId="1" applyNumberFormat="1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left" vertical="center"/>
      <protection locked="0"/>
    </xf>
    <xf numFmtId="0" fontId="9" fillId="0" borderId="0" xfId="0" applyFont="1" applyFill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vertical="center"/>
      <protection locked="0"/>
    </xf>
    <xf numFmtId="0" fontId="9" fillId="0" borderId="0" xfId="0" applyFont="1" applyFill="1" applyBorder="1" applyProtection="1">
      <protection locked="0"/>
    </xf>
    <xf numFmtId="176" fontId="9" fillId="0" borderId="0" xfId="0" applyNumberFormat="1" applyFont="1" applyFill="1" applyBorder="1" applyProtection="1"/>
    <xf numFmtId="43" fontId="9" fillId="0" borderId="0" xfId="0" applyNumberFormat="1" applyFont="1" applyFill="1" applyBorder="1" applyProtection="1"/>
    <xf numFmtId="0" fontId="9" fillId="0" borderId="0" xfId="0" applyFont="1" applyFill="1" applyBorder="1" applyProtection="1"/>
    <xf numFmtId="164" fontId="9" fillId="0" borderId="0" xfId="0" applyNumberFormat="1" applyFont="1" applyFill="1" applyBorder="1" applyProtection="1"/>
    <xf numFmtId="165" fontId="9" fillId="0" borderId="0" xfId="0" applyNumberFormat="1" applyFont="1" applyFill="1" applyBorder="1" applyProtection="1"/>
    <xf numFmtId="174" fontId="9" fillId="0" borderId="0" xfId="3" applyNumberFormat="1" applyFont="1" applyFill="1" applyBorder="1" applyAlignment="1" applyProtection="1">
      <alignment vertical="center"/>
    </xf>
    <xf numFmtId="175" fontId="9" fillId="0" borderId="0" xfId="2" applyNumberFormat="1" applyFont="1" applyFill="1" applyBorder="1" applyAlignment="1" applyProtection="1">
      <alignment vertical="center"/>
    </xf>
    <xf numFmtId="177" fontId="9" fillId="0" borderId="0" xfId="1" applyNumberFormat="1" applyFont="1" applyFill="1" applyBorder="1" applyAlignment="1" applyProtection="1">
      <alignment vertical="center"/>
    </xf>
    <xf numFmtId="173" fontId="9" fillId="0" borderId="0" xfId="3" applyNumberFormat="1" applyFont="1" applyFill="1" applyBorder="1" applyAlignment="1" applyProtection="1">
      <alignment vertical="center"/>
    </xf>
    <xf numFmtId="171" fontId="9" fillId="0" borderId="0" xfId="3" applyNumberFormat="1" applyFont="1" applyFill="1" applyBorder="1" applyAlignment="1" applyProtection="1">
      <alignment vertical="center"/>
    </xf>
    <xf numFmtId="176" fontId="9" fillId="0" borderId="0" xfId="3" applyNumberFormat="1" applyFont="1" applyFill="1" applyBorder="1" applyAlignment="1" applyProtection="1">
      <alignment vertical="center"/>
    </xf>
    <xf numFmtId="178" fontId="9" fillId="0" borderId="0" xfId="3" applyNumberFormat="1" applyFont="1" applyFill="1" applyBorder="1" applyAlignment="1" applyProtection="1">
      <alignment vertical="center"/>
    </xf>
    <xf numFmtId="43" fontId="9" fillId="0" borderId="0" xfId="1" applyFont="1" applyFill="1" applyBorder="1" applyAlignment="1" applyProtection="1">
      <alignment vertical="center"/>
    </xf>
    <xf numFmtId="179" fontId="9" fillId="0" borderId="0" xfId="3" applyNumberFormat="1" applyFont="1" applyFill="1" applyBorder="1" applyAlignment="1" applyProtection="1">
      <alignment vertical="center"/>
    </xf>
    <xf numFmtId="9" fontId="9" fillId="0" borderId="0" xfId="2" applyFont="1" applyFill="1" applyBorder="1" applyAlignment="1" applyProtection="1">
      <alignment vertical="center"/>
    </xf>
    <xf numFmtId="9" fontId="9" fillId="0" borderId="0" xfId="2" applyFont="1" applyFill="1" applyBorder="1" applyAlignment="1" applyProtection="1">
      <alignment vertical="center"/>
      <protection locked="0"/>
    </xf>
    <xf numFmtId="0" fontId="10" fillId="0" borderId="0" xfId="0" applyFont="1" applyFill="1" applyBorder="1" applyAlignment="1" applyProtection="1">
      <alignment horizontal="left" vertical="center"/>
    </xf>
    <xf numFmtId="14" fontId="10" fillId="0" borderId="0" xfId="0" applyNumberFormat="1" applyFont="1" applyFill="1" applyBorder="1" applyAlignment="1" applyProtection="1">
      <alignment horizontal="left" vertical="center"/>
    </xf>
    <xf numFmtId="0" fontId="10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Fill="1" applyBorder="1" applyProtection="1"/>
    <xf numFmtId="0" fontId="10" fillId="0" borderId="0" xfId="0" applyFont="1" applyFill="1" applyBorder="1" applyProtection="1">
      <protection locked="0"/>
    </xf>
    <xf numFmtId="0" fontId="1" fillId="0" borderId="0" xfId="0" applyFont="1" applyAlignment="1" applyProtection="1"/>
    <xf numFmtId="0" fontId="0" fillId="0" borderId="0" xfId="0" applyFont="1"/>
    <xf numFmtId="0" fontId="0" fillId="0" borderId="0" xfId="0" applyFont="1" applyProtection="1">
      <protection locked="0"/>
    </xf>
    <xf numFmtId="0" fontId="0" fillId="0" borderId="0" xfId="0" applyFont="1" applyAlignment="1" applyProtection="1">
      <protection locked="0"/>
    </xf>
    <xf numFmtId="168" fontId="1" fillId="0" borderId="0" xfId="0" applyNumberFormat="1" applyFont="1" applyProtection="1"/>
    <xf numFmtId="165" fontId="0" fillId="0" borderId="0" xfId="0" applyNumberFormat="1" applyFont="1" applyProtection="1"/>
    <xf numFmtId="167" fontId="0" fillId="0" borderId="0" xfId="0" applyNumberFormat="1" applyFont="1"/>
    <xf numFmtId="0" fontId="1" fillId="0" borderId="0" xfId="0" applyFont="1" applyAlignment="1" applyProtection="1">
      <protection locked="0"/>
    </xf>
    <xf numFmtId="14" fontId="9" fillId="3" borderId="0" xfId="0" applyNumberFormat="1" applyFont="1" applyFill="1" applyBorder="1" applyAlignment="1" applyProtection="1">
      <alignment horizontal="left" vertical="center"/>
      <protection locked="0"/>
    </xf>
    <xf numFmtId="0" fontId="9" fillId="3" borderId="0" xfId="0" applyFont="1" applyFill="1" applyBorder="1" applyAlignment="1" applyProtection="1">
      <alignment vertical="center"/>
      <protection locked="0"/>
    </xf>
    <xf numFmtId="0" fontId="9" fillId="3" borderId="0" xfId="0" applyFont="1" applyFill="1" applyBorder="1" applyAlignment="1" applyProtection="1">
      <alignment horizontal="left" vertical="center"/>
      <protection locked="0"/>
    </xf>
    <xf numFmtId="0" fontId="9" fillId="4" borderId="0" xfId="0" applyFont="1" applyFill="1" applyBorder="1" applyAlignment="1" applyProtection="1">
      <alignment horizontal="left" vertical="center"/>
      <protection locked="0"/>
    </xf>
    <xf numFmtId="0" fontId="9" fillId="4" borderId="0" xfId="0" applyFont="1" applyFill="1" applyBorder="1" applyAlignment="1" applyProtection="1">
      <alignment vertical="center"/>
      <protection locked="0"/>
    </xf>
    <xf numFmtId="171" fontId="9" fillId="3" borderId="0" xfId="1" applyNumberFormat="1" applyFont="1" applyFill="1" applyBorder="1" applyAlignment="1" applyProtection="1">
      <alignment horizontal="left"/>
      <protection locked="0"/>
    </xf>
    <xf numFmtId="169" fontId="9" fillId="3" borderId="0" xfId="1" applyNumberFormat="1" applyFont="1" applyFill="1" applyBorder="1" applyAlignment="1" applyProtection="1">
      <alignment horizontal="right" vertical="center"/>
      <protection locked="0"/>
    </xf>
    <xf numFmtId="172" fontId="9" fillId="3" borderId="0" xfId="1" applyNumberFormat="1" applyFont="1" applyFill="1" applyBorder="1" applyAlignment="1" applyProtection="1">
      <alignment horizontal="right" vertical="center"/>
      <protection locked="0"/>
    </xf>
    <xf numFmtId="9" fontId="9" fillId="4" borderId="0" xfId="1" applyNumberFormat="1" applyFont="1" applyFill="1" applyBorder="1" applyAlignment="1" applyProtection="1">
      <alignment horizontal="left" vertical="center"/>
      <protection locked="0"/>
    </xf>
    <xf numFmtId="170" fontId="9" fillId="4" borderId="0" xfId="1" applyNumberFormat="1" applyFont="1" applyFill="1" applyBorder="1" applyAlignment="1" applyProtection="1">
      <alignment horizontal="right" vertical="center"/>
    </xf>
    <xf numFmtId="172" fontId="9" fillId="4" borderId="0" xfId="1" applyNumberFormat="1" applyFont="1" applyFill="1" applyBorder="1" applyAlignment="1" applyProtection="1">
      <alignment horizontal="right" vertical="center"/>
      <protection locked="0"/>
    </xf>
    <xf numFmtId="172" fontId="9" fillId="3" borderId="0" xfId="1" applyNumberFormat="1" applyFont="1" applyFill="1" applyBorder="1" applyAlignment="1" applyProtection="1">
      <alignment horizontal="left" vertical="center"/>
      <protection locked="0"/>
    </xf>
    <xf numFmtId="174" fontId="9" fillId="3" borderId="0" xfId="1" applyNumberFormat="1" applyFont="1" applyFill="1" applyBorder="1" applyAlignment="1" applyProtection="1">
      <alignment horizontal="right" vertical="center"/>
      <protection locked="0"/>
    </xf>
    <xf numFmtId="43" fontId="9" fillId="4" borderId="0" xfId="1" applyFont="1" applyFill="1" applyBorder="1" applyAlignment="1" applyProtection="1">
      <alignment vertical="center"/>
    </xf>
    <xf numFmtId="43" fontId="9" fillId="4" borderId="0" xfId="0" applyNumberFormat="1" applyFont="1" applyFill="1" applyBorder="1" applyProtection="1">
      <protection locked="0"/>
    </xf>
    <xf numFmtId="172" fontId="9" fillId="4" borderId="0" xfId="1" applyNumberFormat="1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Protection="1">
      <protection locked="0"/>
    </xf>
    <xf numFmtId="0" fontId="1" fillId="4" borderId="0" xfId="0" applyFont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164" fontId="0" fillId="3" borderId="0" xfId="0" applyNumberFormat="1" applyFont="1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166" fontId="1" fillId="3" borderId="0" xfId="0" applyNumberFormat="1" applyFont="1" applyFill="1" applyAlignment="1" applyProtection="1">
      <alignment horizontal="center"/>
      <protection locked="0"/>
    </xf>
    <xf numFmtId="164" fontId="1" fillId="3" borderId="0" xfId="0" applyNumberFormat="1" applyFont="1" applyFill="1" applyAlignment="1" applyProtection="1">
      <alignment horizontal="center"/>
      <protection locked="0"/>
    </xf>
    <xf numFmtId="164" fontId="0" fillId="3" borderId="0" xfId="0" applyNumberFormat="1" applyFill="1" applyAlignment="1" applyProtection="1">
      <protection locked="0"/>
    </xf>
    <xf numFmtId="165" fontId="1" fillId="4" borderId="0" xfId="0" applyNumberFormat="1" applyFont="1" applyFill="1" applyAlignment="1" applyProtection="1">
      <alignment horizontal="center"/>
      <protection locked="0"/>
    </xf>
    <xf numFmtId="0" fontId="0" fillId="4" borderId="0" xfId="0" applyFill="1" applyProtection="1"/>
    <xf numFmtId="164" fontId="0" fillId="4" borderId="0" xfId="0" applyNumberFormat="1" applyFill="1" applyAlignment="1" applyProtection="1">
      <protection locked="0"/>
    </xf>
    <xf numFmtId="0" fontId="0" fillId="3" borderId="0" xfId="0" applyFont="1" applyFill="1" applyProtection="1">
      <protection locked="0"/>
    </xf>
    <xf numFmtId="165" fontId="0" fillId="4" borderId="0" xfId="0" applyNumberFormat="1" applyFont="1" applyFill="1" applyProtection="1">
      <protection locked="0"/>
    </xf>
    <xf numFmtId="177" fontId="9" fillId="4" borderId="0" xfId="1" applyNumberFormat="1" applyFont="1" applyFill="1" applyBorder="1" applyAlignment="1" applyProtection="1">
      <alignment vertical="center"/>
      <protection locked="0"/>
    </xf>
    <xf numFmtId="0" fontId="9" fillId="3" borderId="0" xfId="0" applyFont="1" applyFill="1" applyBorder="1" applyProtection="1"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Protection="1"/>
    <xf numFmtId="0" fontId="1" fillId="3" borderId="0" xfId="0" applyFont="1" applyFill="1" applyAlignment="1" applyProtection="1"/>
    <xf numFmtId="2" fontId="9" fillId="0" borderId="0" xfId="0" applyNumberFormat="1" applyFont="1" applyFill="1" applyBorder="1" applyProtection="1"/>
    <xf numFmtId="0" fontId="9" fillId="0" borderId="0" xfId="0" applyFont="1" applyFill="1" applyBorder="1" applyAlignment="1" applyProtection="1">
      <alignment horizontal="center" vertical="center"/>
    </xf>
    <xf numFmtId="172" fontId="9" fillId="0" borderId="0" xfId="1" applyNumberFormat="1" applyFont="1" applyFill="1" applyBorder="1" applyAlignment="1" applyProtection="1">
      <alignment horizontal="center" vertical="center"/>
    </xf>
    <xf numFmtId="9" fontId="9" fillId="0" borderId="0" xfId="2" applyFont="1" applyFill="1" applyBorder="1" applyAlignment="1" applyProtection="1">
      <alignment horizontal="center" vertical="center"/>
    </xf>
    <xf numFmtId="178" fontId="9" fillId="0" borderId="0" xfId="3" applyNumberFormat="1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  <protection locked="0"/>
    </xf>
    <xf numFmtId="14" fontId="9" fillId="0" borderId="0" xfId="0" applyNumberFormat="1" applyFont="1" applyFill="1" applyBorder="1" applyAlignment="1" applyProtection="1">
      <alignment horizontal="center" vertical="center"/>
    </xf>
    <xf numFmtId="173" fontId="9" fillId="0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0" fillId="3" borderId="0" xfId="0" applyFill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12" fillId="0" borderId="0" xfId="0" applyFont="1" applyAlignment="1" applyProtection="1">
      <alignment horizontal="left"/>
      <protection locked="0"/>
    </xf>
    <xf numFmtId="165" fontId="12" fillId="0" borderId="0" xfId="0" applyNumberFormat="1" applyFont="1" applyAlignment="1" applyProtection="1">
      <alignment horizontal="left"/>
    </xf>
    <xf numFmtId="0" fontId="12" fillId="0" borderId="0" xfId="0" applyFont="1" applyAlignment="1" applyProtection="1">
      <alignment horizontal="left" vertical="top"/>
      <protection locked="0"/>
    </xf>
    <xf numFmtId="0" fontId="0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center"/>
      <protection locked="0"/>
    </xf>
  </cellXfs>
  <cellStyles count="4">
    <cellStyle name="Calculation" xfId="3" builtinId="22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3C65-3A24-4E6B-AFC4-0390572DD40C}">
  <dimension ref="A1:L35"/>
  <sheetViews>
    <sheetView topLeftCell="A14" workbookViewId="0">
      <selection activeCell="B28" sqref="B28"/>
    </sheetView>
  </sheetViews>
  <sheetFormatPr defaultColWidth="12.5703125" defaultRowHeight="15" x14ac:dyDescent="0.25"/>
  <cols>
    <col min="1" max="1" width="31.140625" style="21" bestFit="1" customWidth="1"/>
    <col min="2" max="2" width="17.7109375" style="21" customWidth="1"/>
    <col min="3" max="3" width="12.5703125" style="21"/>
    <col min="4" max="4" width="31.85546875" style="21" bestFit="1" customWidth="1"/>
    <col min="5" max="5" width="15.7109375" style="21" bestFit="1" customWidth="1"/>
    <col min="6" max="6" width="12.5703125" style="21"/>
    <col min="7" max="7" width="34.85546875" style="21" bestFit="1" customWidth="1"/>
    <col min="8" max="8" width="13" style="21" bestFit="1" customWidth="1"/>
    <col min="9" max="9" width="12.5703125" style="21"/>
    <col min="10" max="10" width="19.42578125" style="21" bestFit="1" customWidth="1"/>
    <col min="11" max="16384" width="12.5703125" style="21"/>
  </cols>
  <sheetData>
    <row r="1" spans="1:12" x14ac:dyDescent="0.25">
      <c r="A1" s="38" t="s">
        <v>112</v>
      </c>
      <c r="B1" s="51">
        <v>45098</v>
      </c>
      <c r="C1" s="95"/>
      <c r="D1" s="38" t="s">
        <v>117</v>
      </c>
      <c r="E1" s="53"/>
      <c r="F1" s="89"/>
      <c r="G1" s="38" t="s">
        <v>118</v>
      </c>
      <c r="H1" s="53"/>
      <c r="I1" s="89"/>
      <c r="J1" s="40" t="s">
        <v>119</v>
      </c>
      <c r="K1" s="57" t="s">
        <v>120</v>
      </c>
      <c r="L1" s="20"/>
    </row>
    <row r="2" spans="1:12" x14ac:dyDescent="0.25">
      <c r="A2" s="38" t="s">
        <v>113</v>
      </c>
      <c r="B2" s="54"/>
      <c r="C2" s="95"/>
      <c r="D2" s="38" t="s">
        <v>121</v>
      </c>
      <c r="E2" s="54"/>
      <c r="F2" s="89"/>
      <c r="G2" s="38" t="s">
        <v>122</v>
      </c>
      <c r="H2" s="54">
        <v>1816028</v>
      </c>
      <c r="I2" s="89"/>
      <c r="J2" s="40" t="s">
        <v>123</v>
      </c>
      <c r="K2" s="60">
        <v>462</v>
      </c>
      <c r="L2" s="20"/>
    </row>
    <row r="3" spans="1:12" x14ac:dyDescent="0.25">
      <c r="A3" s="38" t="s">
        <v>114</v>
      </c>
      <c r="B3" s="53" t="s">
        <v>115</v>
      </c>
      <c r="C3" s="95"/>
      <c r="D3" s="38" t="s">
        <v>124</v>
      </c>
      <c r="E3" s="53">
        <v>7</v>
      </c>
      <c r="F3" s="89"/>
      <c r="G3" s="38" t="s">
        <v>125</v>
      </c>
      <c r="H3" s="56">
        <v>150000</v>
      </c>
      <c r="I3" s="89"/>
      <c r="J3" s="40" t="s">
        <v>126</v>
      </c>
      <c r="K3" s="58">
        <v>66</v>
      </c>
      <c r="L3" s="20"/>
    </row>
    <row r="4" spans="1:12" x14ac:dyDescent="0.25">
      <c r="A4" s="38" t="s">
        <v>116</v>
      </c>
      <c r="B4" s="55"/>
      <c r="C4" s="95"/>
      <c r="D4" s="39" t="s">
        <v>127</v>
      </c>
      <c r="E4" s="54">
        <v>2024</v>
      </c>
      <c r="F4" s="89"/>
      <c r="G4" s="38" t="s">
        <v>128</v>
      </c>
      <c r="H4" s="59">
        <v>0.2</v>
      </c>
      <c r="I4" s="89"/>
      <c r="J4" s="40" t="s">
        <v>129</v>
      </c>
      <c r="K4" s="61">
        <v>7</v>
      </c>
      <c r="L4" s="20"/>
    </row>
    <row r="5" spans="1:12" x14ac:dyDescent="0.25">
      <c r="A5" s="94"/>
      <c r="B5" s="94"/>
      <c r="C5" s="95"/>
      <c r="D5" s="39" t="s">
        <v>130</v>
      </c>
      <c r="E5" s="53">
        <v>2031</v>
      </c>
      <c r="F5" s="89"/>
      <c r="G5" s="38" t="s">
        <v>131</v>
      </c>
      <c r="H5" s="53" t="s">
        <v>120</v>
      </c>
      <c r="I5" s="89"/>
      <c r="J5" s="40" t="s">
        <v>132</v>
      </c>
      <c r="K5" s="58">
        <v>425</v>
      </c>
      <c r="L5" s="20"/>
    </row>
    <row r="6" spans="1:12" x14ac:dyDescent="0.25">
      <c r="A6" s="94"/>
      <c r="B6" s="94"/>
      <c r="C6" s="95"/>
      <c r="D6" s="95"/>
      <c r="E6" s="95"/>
      <c r="F6" s="95"/>
      <c r="G6" s="38" t="s">
        <v>133</v>
      </c>
      <c r="H6" s="20" t="s">
        <v>134</v>
      </c>
      <c r="I6" s="55"/>
      <c r="J6" s="89"/>
      <c r="K6" s="89"/>
      <c r="L6" s="20"/>
    </row>
    <row r="7" spans="1:12" x14ac:dyDescent="0.25">
      <c r="A7" s="94"/>
      <c r="B7" s="94"/>
      <c r="C7" s="95"/>
      <c r="D7" s="95"/>
      <c r="E7" s="95"/>
      <c r="F7" s="95"/>
      <c r="G7" s="19"/>
      <c r="H7" s="20" t="s">
        <v>135</v>
      </c>
      <c r="I7" s="52"/>
      <c r="J7" s="89"/>
      <c r="K7" s="89"/>
      <c r="L7" s="20"/>
    </row>
    <row r="8" spans="1:12" x14ac:dyDescent="0.25">
      <c r="A8" s="94"/>
      <c r="B8" s="94"/>
      <c r="C8" s="95"/>
      <c r="D8" s="95"/>
      <c r="E8" s="95"/>
      <c r="F8" s="95"/>
      <c r="G8" s="89"/>
      <c r="H8" s="89"/>
      <c r="I8" s="89"/>
      <c r="J8" s="89"/>
      <c r="K8" s="89"/>
      <c r="L8" s="20"/>
    </row>
    <row r="9" spans="1:12" x14ac:dyDescent="0.25">
      <c r="A9" s="38" t="s">
        <v>136</v>
      </c>
      <c r="B9" s="52" t="s">
        <v>120</v>
      </c>
      <c r="C9" s="95"/>
      <c r="D9" s="38" t="s">
        <v>137</v>
      </c>
      <c r="E9" s="62">
        <v>1500</v>
      </c>
      <c r="F9" s="90"/>
      <c r="G9" s="38" t="s">
        <v>138</v>
      </c>
      <c r="H9" s="30">
        <f>ROUNDUP(($E$9-200)/($K$3),0)</f>
        <v>20</v>
      </c>
      <c r="I9" s="96"/>
      <c r="J9" s="89"/>
      <c r="K9" s="89"/>
      <c r="L9" s="20"/>
    </row>
    <row r="10" spans="1:12" x14ac:dyDescent="0.25">
      <c r="A10" s="38" t="s">
        <v>139</v>
      </c>
      <c r="B10" s="54" t="s">
        <v>120</v>
      </c>
      <c r="C10" s="95"/>
      <c r="D10" s="38" t="s">
        <v>140</v>
      </c>
      <c r="E10" s="66">
        <v>1200</v>
      </c>
      <c r="F10" s="90"/>
      <c r="G10" s="38" t="s">
        <v>141</v>
      </c>
      <c r="H10" s="30">
        <f>ROUNDUP(($E$10-200)/($K$5),0)</f>
        <v>3</v>
      </c>
      <c r="I10" s="96"/>
      <c r="J10" s="89"/>
      <c r="K10" s="89"/>
      <c r="L10" s="20"/>
    </row>
    <row r="11" spans="1:12" x14ac:dyDescent="0.25">
      <c r="A11" s="38" t="s">
        <v>142</v>
      </c>
      <c r="B11" s="52" t="s">
        <v>120</v>
      </c>
      <c r="C11" s="95"/>
      <c r="D11" s="38" t="s">
        <v>143</v>
      </c>
      <c r="E11" s="62">
        <v>400</v>
      </c>
      <c r="F11" s="90"/>
      <c r="G11" s="38" t="s">
        <v>144</v>
      </c>
      <c r="H11" s="30">
        <v>2</v>
      </c>
      <c r="I11" s="96"/>
      <c r="J11" s="40" t="s">
        <v>145</v>
      </c>
      <c r="K11" s="27">
        <f>H9*H10*H11</f>
        <v>120</v>
      </c>
      <c r="L11" s="20"/>
    </row>
    <row r="12" spans="1:12" x14ac:dyDescent="0.25">
      <c r="A12" s="89"/>
      <c r="B12" s="89"/>
      <c r="C12" s="95"/>
      <c r="D12" s="89"/>
      <c r="E12" s="89"/>
      <c r="F12" s="89"/>
      <c r="G12" s="89"/>
      <c r="H12" s="89"/>
      <c r="I12" s="89"/>
      <c r="J12" s="89"/>
      <c r="K12" s="89"/>
      <c r="L12" s="20"/>
    </row>
    <row r="13" spans="1:12" x14ac:dyDescent="0.25">
      <c r="A13" s="38" t="s">
        <v>146</v>
      </c>
      <c r="B13" s="63">
        <v>51840</v>
      </c>
      <c r="C13" s="95"/>
      <c r="D13" s="38" t="s">
        <v>147</v>
      </c>
      <c r="E13" s="31">
        <f>H3/50</f>
        <v>3000</v>
      </c>
      <c r="F13" s="91"/>
      <c r="G13" s="38" t="s">
        <v>148</v>
      </c>
      <c r="H13" s="89"/>
      <c r="I13" s="89"/>
      <c r="J13" s="89"/>
      <c r="K13" s="89"/>
      <c r="L13" s="20"/>
    </row>
    <row r="14" spans="1:12" x14ac:dyDescent="0.25">
      <c r="A14" s="38" t="s">
        <v>149</v>
      </c>
      <c r="B14" s="27">
        <f>H3/K11</f>
        <v>1250</v>
      </c>
      <c r="C14" s="95"/>
      <c r="D14" s="38" t="s">
        <v>150</v>
      </c>
      <c r="E14" s="31">
        <f>E13/6</f>
        <v>500</v>
      </c>
      <c r="F14" s="91"/>
      <c r="G14" s="38" t="s">
        <v>151</v>
      </c>
      <c r="H14" s="89"/>
      <c r="I14" s="89"/>
      <c r="J14" s="89"/>
      <c r="K14" s="89"/>
      <c r="L14" s="20"/>
    </row>
    <row r="15" spans="1:12" x14ac:dyDescent="0.25">
      <c r="A15" s="38" t="s">
        <v>152</v>
      </c>
      <c r="B15" s="28">
        <f>B14/B13</f>
        <v>2.4112654320987654E-2</v>
      </c>
      <c r="C15" s="95"/>
      <c r="D15" s="38" t="s">
        <v>153</v>
      </c>
      <c r="E15" s="32">
        <f>+E14/K11/8</f>
        <v>0.52083333333333337</v>
      </c>
      <c r="F15" s="91"/>
      <c r="G15" s="17"/>
      <c r="H15" s="89"/>
      <c r="I15" s="89"/>
      <c r="J15" s="89"/>
      <c r="K15" s="89"/>
      <c r="L15" s="20"/>
    </row>
    <row r="16" spans="1:12" x14ac:dyDescent="0.25">
      <c r="A16" s="94"/>
      <c r="B16" s="94"/>
      <c r="C16" s="95"/>
      <c r="D16" s="18"/>
      <c r="E16" s="22">
        <f>ROUNDUP(E15,0)</f>
        <v>1</v>
      </c>
      <c r="F16" s="91"/>
      <c r="G16" s="38" t="s">
        <v>154</v>
      </c>
      <c r="H16" s="89"/>
      <c r="I16" s="89"/>
      <c r="J16" s="89"/>
      <c r="K16" s="89"/>
      <c r="L16" s="20"/>
    </row>
    <row r="17" spans="1:12" x14ac:dyDescent="0.25">
      <c r="A17" s="94"/>
      <c r="B17" s="94"/>
      <c r="C17" s="95"/>
      <c r="D17" s="89"/>
      <c r="E17" s="89"/>
      <c r="F17" s="89"/>
      <c r="G17" s="89"/>
      <c r="H17" s="89"/>
      <c r="I17" s="89"/>
      <c r="J17" s="89"/>
      <c r="K17" s="89"/>
      <c r="L17" s="20"/>
    </row>
    <row r="18" spans="1:12" x14ac:dyDescent="0.25">
      <c r="A18" s="38" t="s">
        <v>155</v>
      </c>
      <c r="B18" s="29">
        <f>E18*K11</f>
        <v>41031413.708587676</v>
      </c>
      <c r="C18" s="95"/>
      <c r="D18" s="40" t="s">
        <v>156</v>
      </c>
      <c r="E18" s="33">
        <f>B35</f>
        <v>341928.44757156394</v>
      </c>
      <c r="F18" s="92"/>
      <c r="G18" s="89"/>
      <c r="H18" s="89"/>
      <c r="I18" s="89"/>
      <c r="J18" s="89"/>
      <c r="K18" s="89"/>
      <c r="L18" s="20"/>
    </row>
    <row r="19" spans="1:12" ht="17.25" x14ac:dyDescent="0.25">
      <c r="A19" s="89"/>
      <c r="B19" s="89"/>
      <c r="C19" s="95"/>
      <c r="D19" s="89"/>
      <c r="E19" s="89"/>
      <c r="F19" s="92"/>
      <c r="G19" s="38" t="s">
        <v>175</v>
      </c>
      <c r="H19" s="34">
        <f>E18/100/K2</f>
        <v>7.4010486487351503</v>
      </c>
      <c r="I19" s="89"/>
      <c r="J19" s="89"/>
      <c r="K19" s="89"/>
      <c r="L19" s="20"/>
    </row>
    <row r="20" spans="1:12" ht="17.25" x14ac:dyDescent="0.25">
      <c r="A20" s="89"/>
      <c r="B20" s="89"/>
      <c r="C20" s="95"/>
      <c r="D20" s="38" t="s">
        <v>157</v>
      </c>
      <c r="E20" s="35">
        <f>E18*H3</f>
        <v>51289267135.734589</v>
      </c>
      <c r="F20" s="92"/>
      <c r="G20" s="38" t="s">
        <v>176</v>
      </c>
      <c r="H20" s="64">
        <v>0.14000000000000001</v>
      </c>
      <c r="I20" s="89"/>
      <c r="J20" s="89"/>
      <c r="K20" s="89"/>
      <c r="L20" s="20"/>
    </row>
    <row r="21" spans="1:12" x14ac:dyDescent="0.25">
      <c r="A21" s="89"/>
      <c r="B21" s="89"/>
      <c r="C21" s="95"/>
      <c r="D21" s="38" t="s">
        <v>158</v>
      </c>
      <c r="E21" s="35">
        <f>E20*E3</f>
        <v>359024869950.14209</v>
      </c>
      <c r="F21" s="92"/>
      <c r="G21" s="38" t="s">
        <v>159</v>
      </c>
      <c r="H21" s="36">
        <f>H19/H20</f>
        <v>52.864633205251067</v>
      </c>
      <c r="I21" s="89"/>
      <c r="J21" s="89"/>
      <c r="K21" s="89"/>
      <c r="L21" s="20"/>
    </row>
    <row r="22" spans="1:12" x14ac:dyDescent="0.25">
      <c r="A22" s="89"/>
      <c r="B22" s="89"/>
      <c r="C22" s="95"/>
      <c r="D22" s="89"/>
      <c r="E22" s="89"/>
      <c r="F22" s="92"/>
      <c r="G22" s="89"/>
      <c r="H22" s="89"/>
      <c r="I22" s="89"/>
      <c r="J22" s="89"/>
      <c r="K22" s="89"/>
      <c r="L22" s="20"/>
    </row>
    <row r="23" spans="1:12" x14ac:dyDescent="0.25">
      <c r="A23" s="40" t="s">
        <v>160</v>
      </c>
      <c r="B23" s="82">
        <v>5000</v>
      </c>
      <c r="C23" s="95"/>
      <c r="D23" s="38" t="s">
        <v>161</v>
      </c>
      <c r="E23" s="33">
        <f>B23*E16</f>
        <v>5000</v>
      </c>
      <c r="F23" s="92"/>
      <c r="G23" s="89"/>
      <c r="H23" s="89"/>
      <c r="I23" s="89"/>
      <c r="J23" s="89"/>
      <c r="K23" s="89"/>
      <c r="L23" s="20"/>
    </row>
    <row r="24" spans="1:12" x14ac:dyDescent="0.25">
      <c r="A24" s="18"/>
      <c r="B24" s="37"/>
      <c r="C24" s="95"/>
      <c r="D24" s="89"/>
      <c r="E24" s="89"/>
      <c r="F24" s="92"/>
      <c r="G24" s="89"/>
      <c r="H24" s="89"/>
      <c r="I24" s="89"/>
      <c r="J24" s="89"/>
      <c r="K24" s="89"/>
      <c r="L24" s="20"/>
    </row>
    <row r="25" spans="1:12" x14ac:dyDescent="0.2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</row>
    <row r="26" spans="1:12" x14ac:dyDescent="0.25">
      <c r="A26" s="41" t="s">
        <v>162</v>
      </c>
      <c r="B26" s="23">
        <f>H9*H10*H11</f>
        <v>120</v>
      </c>
      <c r="D26" s="93"/>
      <c r="E26" s="93"/>
      <c r="F26" s="93"/>
      <c r="G26" s="93"/>
      <c r="H26" s="93"/>
      <c r="I26" s="93"/>
      <c r="J26" s="93"/>
      <c r="K26" s="93"/>
    </row>
    <row r="27" spans="1:12" x14ac:dyDescent="0.25">
      <c r="A27" s="41" t="s">
        <v>163</v>
      </c>
      <c r="B27" s="65">
        <v>4</v>
      </c>
      <c r="D27" s="93"/>
      <c r="E27" s="93"/>
      <c r="F27" s="93"/>
      <c r="G27" s="93"/>
      <c r="H27" s="93"/>
      <c r="I27" s="93"/>
      <c r="J27" s="93"/>
      <c r="K27" s="93"/>
    </row>
    <row r="28" spans="1:12" x14ac:dyDescent="0.25">
      <c r="A28" s="41" t="s">
        <v>164</v>
      </c>
      <c r="B28" s="23">
        <f>MIN(1,E14/(B26*'Machine Details &amp; Fixed Cost '!J12*'Machine Details &amp; Fixed Cost '!J13))</f>
        <v>0.26041666666666669</v>
      </c>
      <c r="C28" s="88">
        <f>B28/B27</f>
        <v>6.5104166666666671E-2</v>
      </c>
      <c r="D28" s="93"/>
      <c r="E28" s="93"/>
      <c r="F28" s="93"/>
      <c r="G28" s="93"/>
      <c r="H28" s="93"/>
      <c r="I28" s="93"/>
      <c r="J28" s="93"/>
      <c r="K28" s="93"/>
    </row>
    <row r="29" spans="1:12" x14ac:dyDescent="0.25">
      <c r="A29" s="41" t="s">
        <v>165</v>
      </c>
      <c r="B29" s="24">
        <f>B26*B27*C28</f>
        <v>31.250000000000004</v>
      </c>
      <c r="D29" s="93"/>
      <c r="E29" s="93"/>
      <c r="F29" s="93"/>
      <c r="G29" s="93"/>
      <c r="H29" s="93"/>
      <c r="I29" s="93"/>
      <c r="J29" s="93"/>
      <c r="K29" s="93"/>
    </row>
    <row r="30" spans="1:12" x14ac:dyDescent="0.25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</row>
    <row r="31" spans="1:12" x14ac:dyDescent="0.25">
      <c r="A31" s="41" t="s">
        <v>166</v>
      </c>
      <c r="B31" s="25">
        <f>'Variable &amp; Labour Cost'!K30</f>
        <v>224.44264325587608</v>
      </c>
      <c r="C31" s="93"/>
      <c r="D31" s="93"/>
      <c r="E31" s="93"/>
      <c r="F31" s="93"/>
      <c r="G31" s="93"/>
      <c r="H31" s="93"/>
      <c r="I31" s="93"/>
      <c r="J31" s="93"/>
      <c r="K31" s="93"/>
    </row>
    <row r="32" spans="1:12" x14ac:dyDescent="0.25">
      <c r="A32" s="41" t="s">
        <v>167</v>
      </c>
      <c r="B32" s="26">
        <f>B31/B29</f>
        <v>7.1821645841880333</v>
      </c>
      <c r="C32" s="93"/>
      <c r="D32" s="93"/>
      <c r="E32" s="93"/>
      <c r="F32" s="93"/>
      <c r="G32" s="93"/>
      <c r="H32" s="93"/>
      <c r="I32" s="93"/>
      <c r="J32" s="93"/>
      <c r="K32" s="93"/>
    </row>
    <row r="33" spans="1:11" x14ac:dyDescent="0.25">
      <c r="A33" s="41" t="s">
        <v>168</v>
      </c>
      <c r="B33" s="26">
        <f>'Metal''s Calculator'!D8</f>
        <v>207222.18000000002</v>
      </c>
      <c r="C33" s="93"/>
      <c r="D33" s="93"/>
      <c r="E33" s="93"/>
      <c r="F33" s="93"/>
      <c r="G33" s="93"/>
      <c r="H33" s="93"/>
      <c r="I33" s="93"/>
      <c r="J33" s="93"/>
      <c r="K33" s="93"/>
    </row>
    <row r="34" spans="1:11" x14ac:dyDescent="0.25">
      <c r="A34" s="41" t="s">
        <v>169</v>
      </c>
      <c r="B34" s="26">
        <f>B32+B33</f>
        <v>207229.36216458422</v>
      </c>
      <c r="C34" s="93"/>
      <c r="D34" s="93"/>
      <c r="E34" s="93"/>
      <c r="F34" s="93"/>
      <c r="G34" s="93"/>
      <c r="H34" s="93"/>
      <c r="I34" s="93"/>
      <c r="J34" s="93"/>
      <c r="K34" s="93"/>
    </row>
    <row r="35" spans="1:11" x14ac:dyDescent="0.25">
      <c r="A35" s="41" t="s">
        <v>170</v>
      </c>
      <c r="B35" s="26">
        <f>B34*(1+(C35/100))</f>
        <v>341928.44757156394</v>
      </c>
      <c r="C35" s="83">
        <v>65</v>
      </c>
      <c r="D35" s="42" t="s">
        <v>171</v>
      </c>
      <c r="E35" s="26">
        <f>B35-B34</f>
        <v>134699.08540697972</v>
      </c>
      <c r="F35" s="93"/>
      <c r="G35" s="93"/>
      <c r="H35" s="93"/>
      <c r="I35" s="93"/>
      <c r="J35" s="93"/>
      <c r="K35" s="93"/>
    </row>
  </sheetData>
  <sheetProtection selectLockedCells="1"/>
  <mergeCells count="29">
    <mergeCell ref="A5:B8"/>
    <mergeCell ref="G8:K8"/>
    <mergeCell ref="A12:B12"/>
    <mergeCell ref="D12:G12"/>
    <mergeCell ref="D17:K17"/>
    <mergeCell ref="J6:K7"/>
    <mergeCell ref="C1:C24"/>
    <mergeCell ref="H12:K16"/>
    <mergeCell ref="D6:F8"/>
    <mergeCell ref="I1:I5"/>
    <mergeCell ref="I9:I11"/>
    <mergeCell ref="J9:K10"/>
    <mergeCell ref="G18:K18"/>
    <mergeCell ref="D19:E19"/>
    <mergeCell ref="A19:B22"/>
    <mergeCell ref="A16:B17"/>
    <mergeCell ref="A25:C25"/>
    <mergeCell ref="C30:C34"/>
    <mergeCell ref="A30:B30"/>
    <mergeCell ref="F35:K35"/>
    <mergeCell ref="D22:E22"/>
    <mergeCell ref="D24:E24"/>
    <mergeCell ref="D25:K34"/>
    <mergeCell ref="F1:F5"/>
    <mergeCell ref="F9:F11"/>
    <mergeCell ref="F13:F16"/>
    <mergeCell ref="F18:F24"/>
    <mergeCell ref="I19:K21"/>
    <mergeCell ref="G22:K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AB34-1852-4884-8491-BCCD777CD21A}">
  <dimension ref="A1:N27"/>
  <sheetViews>
    <sheetView topLeftCell="A6" workbookViewId="0">
      <selection activeCell="G24" sqref="G24"/>
    </sheetView>
  </sheetViews>
  <sheetFormatPr defaultColWidth="33.5703125" defaultRowHeight="15" x14ac:dyDescent="0.25"/>
  <cols>
    <col min="1" max="1" width="22.28515625" style="2" customWidth="1"/>
    <col min="2" max="2" width="24.5703125" style="2" customWidth="1"/>
    <col min="3" max="3" width="16.42578125" style="2" customWidth="1"/>
    <col min="4" max="4" width="14.42578125" style="2" customWidth="1"/>
    <col min="5" max="5" width="9.85546875" style="2" customWidth="1"/>
    <col min="6" max="6" width="6.28515625" style="2" customWidth="1"/>
    <col min="7" max="7" width="26.140625" style="2" bestFit="1" customWidth="1"/>
    <col min="8" max="8" width="9.85546875" style="2" customWidth="1"/>
    <col min="9" max="9" width="2.85546875" style="2" customWidth="1"/>
    <col min="10" max="10" width="25.140625" style="2" customWidth="1"/>
    <col min="11" max="11" width="27.85546875" style="5" bestFit="1" customWidth="1"/>
    <col min="12" max="16384" width="33.5703125" style="2"/>
  </cols>
  <sheetData>
    <row r="1" spans="1:14" ht="23.2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98"/>
      <c r="M1" s="98"/>
      <c r="N1" s="98"/>
    </row>
    <row r="2" spans="1:14" ht="23.2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98"/>
      <c r="M2" s="98"/>
      <c r="N2" s="98"/>
    </row>
    <row r="3" spans="1:14" ht="23.25" customHeight="1" x14ac:dyDescent="0.25">
      <c r="A3" s="100" t="s">
        <v>46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98"/>
      <c r="M3" s="98"/>
      <c r="N3" s="98"/>
    </row>
    <row r="4" spans="1:14" ht="15" customHeight="1" x14ac:dyDescent="0.25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98"/>
      <c r="M4" s="98"/>
      <c r="N4" s="98"/>
    </row>
    <row r="5" spans="1:14" ht="15" customHeight="1" x14ac:dyDescent="0.25">
      <c r="A5" s="3" t="s">
        <v>1</v>
      </c>
      <c r="B5" s="67" t="s">
        <v>73</v>
      </c>
      <c r="C5" s="97"/>
      <c r="D5" s="97"/>
      <c r="E5" s="97"/>
      <c r="F5" s="97"/>
      <c r="G5" s="3" t="s">
        <v>3</v>
      </c>
      <c r="H5" s="69" t="s">
        <v>95</v>
      </c>
      <c r="I5" s="97"/>
      <c r="J5" s="3" t="s">
        <v>5</v>
      </c>
      <c r="K5" s="67"/>
      <c r="L5" s="98"/>
      <c r="M5" s="98"/>
      <c r="N5" s="98"/>
    </row>
    <row r="6" spans="1:14" x14ac:dyDescent="0.25">
      <c r="A6" s="3" t="s">
        <v>2</v>
      </c>
      <c r="B6" s="68" t="s">
        <v>76</v>
      </c>
      <c r="C6" s="97"/>
      <c r="D6" s="97"/>
      <c r="E6" s="97"/>
      <c r="F6" s="97"/>
      <c r="G6" s="3" t="s">
        <v>4</v>
      </c>
      <c r="H6" s="70">
        <v>2015</v>
      </c>
      <c r="I6" s="97"/>
      <c r="J6" s="3" t="s">
        <v>6</v>
      </c>
      <c r="K6" s="68" t="s">
        <v>174</v>
      </c>
      <c r="L6" s="98"/>
      <c r="M6" s="98"/>
      <c r="N6" s="98"/>
    </row>
    <row r="7" spans="1:14" x14ac:dyDescent="0.25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8"/>
      <c r="M7" s="98"/>
      <c r="N7" s="98"/>
    </row>
    <row r="8" spans="1:14" ht="15" customHeight="1" x14ac:dyDescent="0.25">
      <c r="A8" s="101" t="s">
        <v>7</v>
      </c>
      <c r="B8" s="101"/>
      <c r="C8" s="101"/>
      <c r="D8" s="101"/>
      <c r="E8" s="97"/>
      <c r="F8" s="97"/>
      <c r="G8" s="102" t="s">
        <v>13</v>
      </c>
      <c r="H8" s="102"/>
      <c r="I8" s="102"/>
      <c r="J8" s="102"/>
      <c r="K8" s="102"/>
      <c r="L8" s="98"/>
      <c r="M8" s="98"/>
      <c r="N8" s="98"/>
    </row>
    <row r="9" spans="1:14" ht="15" customHeight="1" x14ac:dyDescent="0.25">
      <c r="A9" s="101"/>
      <c r="B9" s="101"/>
      <c r="C9" s="101"/>
      <c r="D9" s="101"/>
      <c r="E9" s="97"/>
      <c r="F9" s="97"/>
      <c r="G9" s="102"/>
      <c r="H9" s="102"/>
      <c r="I9" s="102"/>
      <c r="J9" s="102"/>
      <c r="K9" s="102"/>
      <c r="L9" s="98"/>
      <c r="M9" s="98"/>
      <c r="N9" s="98"/>
    </row>
    <row r="10" spans="1:14" x14ac:dyDescent="0.25">
      <c r="A10" s="3" t="s">
        <v>8</v>
      </c>
      <c r="B10" s="97"/>
      <c r="C10" s="97"/>
      <c r="D10" s="71">
        <v>8000</v>
      </c>
      <c r="E10" s="97"/>
      <c r="F10" s="97"/>
      <c r="G10" s="3" t="s">
        <v>14</v>
      </c>
      <c r="H10" s="97"/>
      <c r="I10" s="97"/>
      <c r="J10" s="72" t="s">
        <v>89</v>
      </c>
      <c r="K10" s="99"/>
      <c r="L10" s="98"/>
      <c r="M10" s="98"/>
      <c r="N10" s="98"/>
    </row>
    <row r="11" spans="1:14" x14ac:dyDescent="0.25">
      <c r="A11" s="3" t="s">
        <v>83</v>
      </c>
      <c r="B11" s="84">
        <v>5</v>
      </c>
      <c r="C11" s="7" t="s">
        <v>11</v>
      </c>
      <c r="D11" s="10">
        <f>((B11/100)*D10)</f>
        <v>400</v>
      </c>
      <c r="E11" s="97"/>
      <c r="F11" s="97"/>
      <c r="G11" s="3" t="s">
        <v>15</v>
      </c>
      <c r="H11" s="97"/>
      <c r="I11" s="97"/>
      <c r="J11" s="3">
        <f>IFERROR(VLOOKUP(J10, 'Dropdown menu'!$D$1:$F$244, 3, FALSE), "")</f>
        <v>26</v>
      </c>
      <c r="K11" s="99"/>
      <c r="L11" s="98"/>
      <c r="M11" s="98"/>
      <c r="N11" s="98"/>
    </row>
    <row r="12" spans="1:14" x14ac:dyDescent="0.25">
      <c r="A12" s="3" t="s">
        <v>9</v>
      </c>
      <c r="B12" s="85">
        <v>5</v>
      </c>
      <c r="C12" s="7" t="s">
        <v>11</v>
      </c>
      <c r="D12" s="10">
        <f>((B12/100)*D10)</f>
        <v>400</v>
      </c>
      <c r="E12" s="97"/>
      <c r="F12" s="97"/>
      <c r="G12" s="3" t="s">
        <v>16</v>
      </c>
      <c r="H12" s="97"/>
      <c r="I12" s="97"/>
      <c r="J12" s="3">
        <f>IFERROR(VLOOKUP(J10,'Dropdown menu'!D1:E114, 2, FALSE), "")</f>
        <v>2</v>
      </c>
      <c r="K12" s="99"/>
      <c r="L12" s="98"/>
      <c r="M12" s="98"/>
      <c r="N12" s="98"/>
    </row>
    <row r="13" spans="1:14" x14ac:dyDescent="0.25">
      <c r="A13" s="3" t="s">
        <v>10</v>
      </c>
      <c r="B13" s="84">
        <v>3</v>
      </c>
      <c r="C13" s="7" t="s">
        <v>11</v>
      </c>
      <c r="D13" s="10">
        <f>((B13/100)*D10)</f>
        <v>240</v>
      </c>
      <c r="E13" s="97"/>
      <c r="F13" s="97"/>
      <c r="G13" s="3" t="s">
        <v>17</v>
      </c>
      <c r="H13" s="97"/>
      <c r="I13" s="97"/>
      <c r="J13" s="3">
        <f>IFERROR(VLOOKUP(J10,'Dropdown menu'!D1:G309, 4, FALSE), "")</f>
        <v>8</v>
      </c>
      <c r="K13" s="99"/>
      <c r="L13" s="98"/>
      <c r="M13" s="98"/>
      <c r="N13" s="98"/>
    </row>
    <row r="14" spans="1:14" x14ac:dyDescent="0.25">
      <c r="A14" s="3" t="s">
        <v>12</v>
      </c>
      <c r="B14" s="99"/>
      <c r="C14" s="99"/>
      <c r="D14" s="10">
        <f>SUM(D10:D13)</f>
        <v>9040</v>
      </c>
      <c r="E14" s="97"/>
      <c r="F14" s="97"/>
      <c r="G14" s="3" t="s">
        <v>18</v>
      </c>
      <c r="H14" s="97"/>
      <c r="I14" s="97"/>
      <c r="J14" s="3">
        <f>(J11*J12*J13)*12</f>
        <v>4992</v>
      </c>
      <c r="K14" s="7" t="s">
        <v>20</v>
      </c>
      <c r="L14" s="98"/>
      <c r="M14" s="98"/>
      <c r="N14" s="98"/>
    </row>
    <row r="15" spans="1:14" x14ac:dyDescent="0.25">
      <c r="A15" s="97"/>
      <c r="B15" s="97"/>
      <c r="C15" s="97"/>
      <c r="D15" s="97"/>
      <c r="E15" s="97"/>
      <c r="F15" s="97"/>
      <c r="G15" s="3" t="s">
        <v>93</v>
      </c>
      <c r="H15" s="97"/>
      <c r="I15" s="97"/>
      <c r="J15" s="73">
        <v>80</v>
      </c>
      <c r="K15" s="7" t="s">
        <v>11</v>
      </c>
      <c r="L15" s="98"/>
      <c r="M15" s="98"/>
      <c r="N15" s="98"/>
    </row>
    <row r="16" spans="1:14" x14ac:dyDescent="0.25">
      <c r="A16" s="97"/>
      <c r="B16" s="97"/>
      <c r="C16" s="97"/>
      <c r="D16" s="97"/>
      <c r="E16" s="97"/>
      <c r="F16" s="97"/>
      <c r="G16" s="3" t="s">
        <v>19</v>
      </c>
      <c r="H16" s="97"/>
      <c r="I16" s="97"/>
      <c r="J16" s="3">
        <f>(J15/100)*J14</f>
        <v>3993.6000000000004</v>
      </c>
      <c r="K16" s="7" t="s">
        <v>20</v>
      </c>
      <c r="L16" s="98"/>
      <c r="M16" s="98"/>
      <c r="N16" s="98"/>
    </row>
    <row r="17" spans="1:14" x14ac:dyDescent="0.25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8"/>
      <c r="M17" s="98"/>
      <c r="N17" s="98"/>
    </row>
    <row r="18" spans="1:14" x14ac:dyDescent="0.25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8"/>
      <c r="M18" s="98"/>
      <c r="N18" s="98"/>
    </row>
    <row r="19" spans="1:14" ht="15" customHeight="1" x14ac:dyDescent="0.25">
      <c r="A19" s="100" t="s">
        <v>21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98"/>
      <c r="M19" s="98"/>
      <c r="N19" s="98"/>
    </row>
    <row r="20" spans="1:14" ht="15" customHeight="1" x14ac:dyDescent="0.25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98"/>
      <c r="M20" s="98"/>
      <c r="N20" s="98"/>
    </row>
    <row r="21" spans="1:14" x14ac:dyDescent="0.25">
      <c r="A21" s="3" t="s">
        <v>22</v>
      </c>
      <c r="B21" s="72">
        <v>15</v>
      </c>
      <c r="C21" s="7" t="s">
        <v>28</v>
      </c>
      <c r="D21" s="99"/>
      <c r="E21" s="99"/>
      <c r="F21" s="99"/>
      <c r="G21" s="3" t="s">
        <v>30</v>
      </c>
      <c r="H21" s="72">
        <v>20</v>
      </c>
      <c r="I21" s="8" t="s">
        <v>11</v>
      </c>
      <c r="J21" s="11">
        <f>(H21/100) * D14</f>
        <v>1808</v>
      </c>
      <c r="K21" s="99"/>
      <c r="L21" s="98"/>
      <c r="M21" s="98"/>
      <c r="N21" s="98"/>
    </row>
    <row r="22" spans="1:14" x14ac:dyDescent="0.25">
      <c r="A22" s="3" t="s">
        <v>23</v>
      </c>
      <c r="B22" s="73">
        <v>11</v>
      </c>
      <c r="C22" s="7" t="s">
        <v>11</v>
      </c>
      <c r="D22" s="99"/>
      <c r="E22" s="99"/>
      <c r="F22" s="99"/>
      <c r="G22" s="3" t="s">
        <v>31</v>
      </c>
      <c r="H22" s="98"/>
      <c r="I22" s="98"/>
      <c r="J22" s="12">
        <f>D14-(J24*(INT(B21/2)))</f>
        <v>5665.0666666666666</v>
      </c>
      <c r="K22" s="99"/>
      <c r="L22" s="98"/>
      <c r="M22" s="98"/>
      <c r="N22" s="98"/>
    </row>
    <row r="23" spans="1:14" x14ac:dyDescent="0.25">
      <c r="A23" s="3" t="s">
        <v>24</v>
      </c>
      <c r="B23" s="72">
        <v>0</v>
      </c>
      <c r="C23" s="7" t="s">
        <v>11</v>
      </c>
      <c r="D23" s="99"/>
      <c r="E23" s="99"/>
      <c r="F23" s="99"/>
      <c r="G23" s="3" t="s">
        <v>32</v>
      </c>
      <c r="H23" s="98"/>
      <c r="I23" s="98"/>
      <c r="J23" s="12">
        <f>(B22/100*(J22)) + ((B23/100)*(J22))</f>
        <v>623.15733333333333</v>
      </c>
      <c r="K23" s="99"/>
      <c r="L23" s="98"/>
      <c r="M23" s="98"/>
      <c r="N23" s="98"/>
    </row>
    <row r="24" spans="1:14" x14ac:dyDescent="0.25">
      <c r="A24" s="3" t="s">
        <v>25</v>
      </c>
      <c r="B24" s="73">
        <v>22.58</v>
      </c>
      <c r="C24" s="7" t="s">
        <v>29</v>
      </c>
      <c r="D24" s="99"/>
      <c r="E24" s="99"/>
      <c r="F24" s="99"/>
      <c r="G24" s="3" t="s">
        <v>33</v>
      </c>
      <c r="H24" s="98"/>
      <c r="I24" s="98"/>
      <c r="J24" s="12">
        <f>(D14-J21)/B21</f>
        <v>482.13333333333333</v>
      </c>
      <c r="K24" s="99"/>
      <c r="L24" s="98"/>
      <c r="M24" s="98"/>
      <c r="N24" s="98"/>
    </row>
    <row r="25" spans="1:14" x14ac:dyDescent="0.25">
      <c r="A25" s="3" t="s">
        <v>26</v>
      </c>
      <c r="B25" s="72">
        <v>25</v>
      </c>
      <c r="C25" s="7" t="s">
        <v>94</v>
      </c>
      <c r="D25" s="99"/>
      <c r="E25" s="99"/>
      <c r="F25" s="99"/>
      <c r="G25" s="3" t="s">
        <v>34</v>
      </c>
      <c r="H25" s="98"/>
      <c r="I25" s="98"/>
      <c r="J25" s="13">
        <f>(B24*B25*B26*12)</f>
        <v>7790.0999999999995</v>
      </c>
      <c r="K25" s="99"/>
      <c r="L25" s="98"/>
      <c r="M25" s="98"/>
      <c r="N25" s="98"/>
    </row>
    <row r="26" spans="1:14" x14ac:dyDescent="0.25">
      <c r="A26" s="3" t="s">
        <v>27</v>
      </c>
      <c r="B26" s="73">
        <v>1.1499999999999999</v>
      </c>
      <c r="C26" s="97"/>
      <c r="D26" s="99"/>
      <c r="E26" s="99"/>
      <c r="F26" s="99"/>
      <c r="G26" s="3" t="s">
        <v>35</v>
      </c>
      <c r="H26" s="98"/>
      <c r="I26" s="98"/>
      <c r="J26" s="12">
        <f>(J23+J24+J25)</f>
        <v>8895.3906666666662</v>
      </c>
      <c r="K26" s="99"/>
      <c r="L26" s="98"/>
      <c r="M26" s="98"/>
      <c r="N26" s="98"/>
    </row>
    <row r="27" spans="1:14" x14ac:dyDescent="0.25">
      <c r="A27" s="97"/>
      <c r="B27" s="97"/>
      <c r="C27" s="97"/>
      <c r="D27" s="99"/>
      <c r="E27" s="99"/>
      <c r="F27" s="99"/>
      <c r="G27" s="3" t="s">
        <v>36</v>
      </c>
      <c r="H27" s="98"/>
      <c r="I27" s="98"/>
      <c r="J27" s="12">
        <f>(J26/J16)</f>
        <v>2.2274115251068372</v>
      </c>
      <c r="K27" s="7" t="s">
        <v>37</v>
      </c>
      <c r="L27" s="98"/>
      <c r="M27" s="98"/>
      <c r="N27" s="98"/>
    </row>
  </sheetData>
  <sheetProtection selectLockedCells="1"/>
  <mergeCells count="23">
    <mergeCell ref="L1:N27"/>
    <mergeCell ref="K10:K13"/>
    <mergeCell ref="K21:K26"/>
    <mergeCell ref="A3:K4"/>
    <mergeCell ref="A8:D9"/>
    <mergeCell ref="A19:K20"/>
    <mergeCell ref="E5:F18"/>
    <mergeCell ref="E21:F27"/>
    <mergeCell ref="C5:D6"/>
    <mergeCell ref="A7:D7"/>
    <mergeCell ref="G7:K7"/>
    <mergeCell ref="A15:D18"/>
    <mergeCell ref="G17:K18"/>
    <mergeCell ref="G8:K9"/>
    <mergeCell ref="A1:K2"/>
    <mergeCell ref="C26:C27"/>
    <mergeCell ref="A27:B27"/>
    <mergeCell ref="H10:I16"/>
    <mergeCell ref="H22:I27"/>
    <mergeCell ref="I5:I6"/>
    <mergeCell ref="D21:D27"/>
    <mergeCell ref="B10:C10"/>
    <mergeCell ref="B14:C1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D2DF2E7-7174-4DA7-BEE3-506BB4C81462}">
          <x14:formula1>
            <xm:f>'Dropdown menu'!$B$2:$B$310</xm:f>
          </x14:formula1>
          <xm:sqref>B6</xm:sqref>
        </x14:dataValidation>
        <x14:dataValidation type="list" allowBlank="1" showInputMessage="1" showErrorMessage="1" xr:uid="{E6894072-7C9E-4977-8E73-2B652FFF3F2D}">
          <x14:formula1>
            <xm:f>'Dropdown menu'!$C$2:$C$314</xm:f>
          </x14:formula1>
          <xm:sqref>K6</xm:sqref>
        </x14:dataValidation>
        <x14:dataValidation type="list" allowBlank="1" showInputMessage="1" showErrorMessage="1" xr:uid="{C1432A46-B0D2-43A0-ADAC-5386EBC07971}">
          <x14:formula1>
            <xm:f>'Dropdown menu'!$D$2:$D$288</xm:f>
          </x14:formula1>
          <xm:sqref>J10</xm:sqref>
        </x14:dataValidation>
        <x14:dataValidation type="list" allowBlank="1" showInputMessage="1" showErrorMessage="1" xr:uid="{1935E5A8-95DD-46E5-95DA-177C6C6EB871}">
          <x14:formula1>
            <xm:f>'Dropdown menu'!$A$2:$A99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E114-DDA6-407D-9515-84665827AF7F}">
  <dimension ref="A1:V43"/>
  <sheetViews>
    <sheetView topLeftCell="A22" workbookViewId="0">
      <selection activeCell="K30" sqref="K30"/>
    </sheetView>
  </sheetViews>
  <sheetFormatPr defaultRowHeight="15" x14ac:dyDescent="0.25"/>
  <cols>
    <col min="1" max="1" width="30.140625" style="2" bestFit="1" customWidth="1"/>
    <col min="2" max="2" width="10.85546875" style="2" customWidth="1"/>
    <col min="3" max="3" width="13" style="2" customWidth="1"/>
    <col min="4" max="5" width="9.140625" style="2"/>
    <col min="6" max="6" width="27.5703125" style="2" customWidth="1"/>
    <col min="7" max="9" width="9.140625" style="2"/>
    <col min="10" max="10" width="33.42578125" style="2" customWidth="1"/>
    <col min="11" max="12" width="9.140625" style="2"/>
    <col min="13" max="22" width="9.140625" style="98"/>
    <col min="23" max="16384" width="9.140625" style="2"/>
  </cols>
  <sheetData>
    <row r="1" spans="1:12" ht="15" customHeight="1" x14ac:dyDescent="0.25">
      <c r="A1" s="103" t="s">
        <v>38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ht="26.2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2" ht="15" customHeight="1" x14ac:dyDescent="0.25">
      <c r="A3" s="100" t="s">
        <v>39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2" ht="15" customHeight="1" x14ac:dyDescent="0.25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2" ht="15" customHeight="1" x14ac:dyDescent="0.25">
      <c r="A5" s="105" t="s">
        <v>47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 ht="15" customHeight="1" x14ac:dyDescent="0.25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6" t="s">
        <v>40</v>
      </c>
      <c r="B7" s="72">
        <v>40.9</v>
      </c>
      <c r="C7" s="9" t="s">
        <v>44</v>
      </c>
      <c r="D7" s="97"/>
      <c r="E7" s="97"/>
      <c r="F7" s="3" t="s">
        <v>48</v>
      </c>
      <c r="G7" s="74">
        <v>7.6</v>
      </c>
      <c r="H7" s="9" t="s">
        <v>51</v>
      </c>
      <c r="I7" s="97"/>
      <c r="J7" s="3" t="s">
        <v>53</v>
      </c>
      <c r="K7" s="106">
        <v>100</v>
      </c>
      <c r="L7" s="106"/>
    </row>
    <row r="8" spans="1:12" x14ac:dyDescent="0.25">
      <c r="A8" s="3" t="s">
        <v>41</v>
      </c>
      <c r="B8" s="73"/>
      <c r="C8" s="9" t="s">
        <v>45</v>
      </c>
      <c r="D8" s="97"/>
      <c r="E8" s="97"/>
      <c r="F8" s="3" t="s">
        <v>49</v>
      </c>
      <c r="G8" s="77">
        <v>54.22</v>
      </c>
      <c r="H8" s="9" t="s">
        <v>52</v>
      </c>
      <c r="I8" s="97"/>
      <c r="J8" s="3" t="s">
        <v>53</v>
      </c>
      <c r="K8" s="107"/>
      <c r="L8" s="107"/>
    </row>
    <row r="9" spans="1:12" x14ac:dyDescent="0.25">
      <c r="A9" s="3" t="s">
        <v>42</v>
      </c>
      <c r="B9" s="72"/>
      <c r="C9" s="9" t="s">
        <v>45</v>
      </c>
      <c r="D9" s="97"/>
      <c r="E9" s="97"/>
      <c r="F9" s="3" t="s">
        <v>50</v>
      </c>
      <c r="G9" s="75">
        <v>32</v>
      </c>
      <c r="H9" s="9" t="s">
        <v>52</v>
      </c>
      <c r="I9" s="97"/>
      <c r="J9" s="3" t="s">
        <v>53</v>
      </c>
      <c r="K9" s="106"/>
      <c r="L9" s="106"/>
    </row>
    <row r="10" spans="1:12" x14ac:dyDescent="0.25">
      <c r="A10" s="3" t="s">
        <v>43</v>
      </c>
      <c r="B10" s="73">
        <v>70</v>
      </c>
      <c r="C10" s="9" t="s">
        <v>11</v>
      </c>
      <c r="D10" s="97"/>
      <c r="E10" s="97"/>
      <c r="F10" s="97"/>
      <c r="G10" s="97"/>
      <c r="H10" s="97"/>
      <c r="I10" s="97"/>
      <c r="J10" s="97"/>
      <c r="K10" s="97"/>
      <c r="L10" s="97"/>
    </row>
    <row r="11" spans="1:12" x14ac:dyDescent="0.25">
      <c r="A11" s="97"/>
      <c r="B11" s="97"/>
      <c r="C11" s="97"/>
      <c r="D11" s="97"/>
      <c r="E11" s="97"/>
      <c r="F11" s="97"/>
      <c r="G11" s="97"/>
      <c r="H11" s="97"/>
      <c r="I11" s="97"/>
      <c r="J11" s="4" t="s">
        <v>54</v>
      </c>
      <c r="K11" s="14">
        <f>((B7*(B10/100)*G7*(K7/100))*('Machine Details &amp; Fixed Cost '!J15/100)) + ((B8*(B10/100)*G8)*('Machine Details &amp; Fixed Cost '!J15/100)*(K8/100)) + ((B9*(B10/100)*G9)*('Machine Details &amp; Fixed Cost '!J15/100)*(K9/100))</f>
        <v>174.07039999999998</v>
      </c>
      <c r="L11" s="9" t="s">
        <v>37</v>
      </c>
    </row>
    <row r="12" spans="1:12" x14ac:dyDescent="0.25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</row>
    <row r="13" spans="1:12" x14ac:dyDescent="0.25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</row>
    <row r="14" spans="1:12" ht="15" customHeight="1" x14ac:dyDescent="0.25">
      <c r="A14" s="105" t="s">
        <v>55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</row>
    <row r="15" spans="1:12" ht="15" customHeight="1" x14ac:dyDescent="0.2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</row>
    <row r="16" spans="1:12" x14ac:dyDescent="0.25">
      <c r="A16" s="3" t="s">
        <v>56</v>
      </c>
      <c r="B16" s="72">
        <v>2</v>
      </c>
      <c r="C16" s="3" t="s">
        <v>58</v>
      </c>
      <c r="D16" s="97"/>
      <c r="E16" s="97"/>
      <c r="F16" s="97"/>
      <c r="G16" s="97"/>
      <c r="H16" s="97"/>
      <c r="I16" s="97"/>
      <c r="J16" s="3" t="s">
        <v>62</v>
      </c>
      <c r="K16" s="13">
        <f>(B16/100)*'Machine Details &amp; Fixed Cost '!D14</f>
        <v>180.8</v>
      </c>
      <c r="L16" s="97"/>
    </row>
    <row r="17" spans="1:12" x14ac:dyDescent="0.25">
      <c r="A17" s="3" t="s">
        <v>57</v>
      </c>
      <c r="B17" s="73">
        <v>1</v>
      </c>
      <c r="C17" s="104" t="s">
        <v>59</v>
      </c>
      <c r="D17" s="104"/>
      <c r="E17" s="3" t="s">
        <v>60</v>
      </c>
      <c r="F17" s="78"/>
      <c r="G17" s="3" t="s">
        <v>61</v>
      </c>
      <c r="H17" s="3"/>
      <c r="I17" s="97"/>
      <c r="J17" s="3" t="s">
        <v>63</v>
      </c>
      <c r="K17" s="13">
        <f>IF(AND(B17&lt;&gt;"", F17&lt;&gt;""), "Select p.a. or month", IF(F17&lt;&gt;"", (F17/100)*'Machine Details &amp; Fixed Cost '!D14, IF(B17&lt;&gt;"", (B17/100)*'Machine Details &amp; Fixed Cost '!D14, "")))</f>
        <v>90.4</v>
      </c>
      <c r="L17" s="97"/>
    </row>
    <row r="18" spans="1:12" x14ac:dyDescent="0.25">
      <c r="A18" s="97"/>
      <c r="B18" s="97"/>
      <c r="C18" s="97"/>
      <c r="D18" s="97"/>
      <c r="E18" s="97"/>
      <c r="F18" s="97"/>
      <c r="G18" s="97"/>
      <c r="H18" s="97"/>
      <c r="I18" s="97"/>
      <c r="J18" s="3" t="s">
        <v>64</v>
      </c>
      <c r="K18" s="12">
        <f>(K16+K17)/'Machine Details &amp; Fixed Cost '!J16</f>
        <v>6.7908653846153855E-2</v>
      </c>
      <c r="L18" s="97"/>
    </row>
    <row r="19" spans="1:12" x14ac:dyDescent="0.25">
      <c r="A19" s="97"/>
      <c r="B19" s="97"/>
      <c r="C19" s="97"/>
      <c r="D19" s="97"/>
      <c r="E19" s="97"/>
      <c r="F19" s="97"/>
      <c r="G19" s="97"/>
      <c r="H19" s="97"/>
      <c r="I19" s="97"/>
      <c r="J19" s="4" t="s">
        <v>65</v>
      </c>
      <c r="K19" s="14">
        <f>K11+K18</f>
        <v>174.13830865384614</v>
      </c>
      <c r="L19" s="9" t="s">
        <v>37</v>
      </c>
    </row>
    <row r="20" spans="1:12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8"/>
      <c r="K20" s="98"/>
      <c r="L20" s="98"/>
    </row>
    <row r="21" spans="1:12" x14ac:dyDescent="0.25">
      <c r="A21" s="97"/>
      <c r="B21" s="97"/>
      <c r="C21" s="97"/>
      <c r="D21" s="97"/>
      <c r="E21" s="97"/>
      <c r="F21" s="97"/>
      <c r="G21" s="97"/>
      <c r="H21" s="97"/>
      <c r="I21" s="97"/>
      <c r="J21" s="98"/>
      <c r="K21" s="98"/>
      <c r="L21" s="98"/>
    </row>
    <row r="22" spans="1:12" ht="15" customHeight="1" x14ac:dyDescent="0.25">
      <c r="A22" s="100" t="s">
        <v>66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</row>
    <row r="23" spans="1:12" ht="15" customHeight="1" x14ac:dyDescent="0.25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</row>
    <row r="24" spans="1:12" x14ac:dyDescent="0.25">
      <c r="A24" s="3" t="s">
        <v>67</v>
      </c>
      <c r="B24" s="72">
        <v>1</v>
      </c>
      <c r="C24" s="3" t="s">
        <v>70</v>
      </c>
      <c r="D24" s="97"/>
      <c r="E24" s="97"/>
      <c r="F24" s="3" t="s">
        <v>71</v>
      </c>
      <c r="G24" s="76">
        <v>10000</v>
      </c>
      <c r="H24" s="97"/>
      <c r="I24" s="97"/>
      <c r="J24" s="3" t="s">
        <v>84</v>
      </c>
      <c r="K24" s="72">
        <v>100</v>
      </c>
      <c r="L24" s="97"/>
    </row>
    <row r="25" spans="1:12" x14ac:dyDescent="0.25">
      <c r="A25" s="3" t="s">
        <v>68</v>
      </c>
      <c r="B25" s="73"/>
      <c r="C25" s="3" t="s">
        <v>70</v>
      </c>
      <c r="D25" s="97"/>
      <c r="E25" s="97"/>
      <c r="F25" s="3" t="s">
        <v>71</v>
      </c>
      <c r="G25" s="79"/>
      <c r="H25" s="97"/>
      <c r="I25" s="97"/>
      <c r="J25" s="3" t="s">
        <v>84</v>
      </c>
      <c r="K25" s="73"/>
      <c r="L25" s="97"/>
    </row>
    <row r="26" spans="1:12" x14ac:dyDescent="0.25">
      <c r="A26" s="3" t="s">
        <v>69</v>
      </c>
      <c r="B26" s="72"/>
      <c r="C26" s="3" t="s">
        <v>70</v>
      </c>
      <c r="D26" s="97"/>
      <c r="E26" s="97"/>
      <c r="F26" s="3" t="s">
        <v>71</v>
      </c>
      <c r="G26" s="76"/>
      <c r="H26" s="97"/>
      <c r="I26" s="97"/>
      <c r="J26" s="3" t="s">
        <v>84</v>
      </c>
      <c r="K26" s="72"/>
      <c r="L26" s="97"/>
    </row>
    <row r="27" spans="1:12" x14ac:dyDescent="0.2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</row>
    <row r="28" spans="1:12" x14ac:dyDescent="0.25">
      <c r="A28" s="97"/>
      <c r="B28" s="97"/>
      <c r="C28" s="97"/>
      <c r="D28" s="97"/>
      <c r="E28" s="97"/>
      <c r="F28" s="97"/>
      <c r="G28" s="97"/>
      <c r="H28" s="97"/>
      <c r="I28" s="97"/>
      <c r="J28" s="4" t="s">
        <v>66</v>
      </c>
      <c r="K28" s="12">
        <f>((B24*G24)/('Machine Details &amp; Fixed Cost '!J11 * 'Machine Details &amp; Fixed Cost '!J13)*(K24/100))+((B25*G25)
/ ('Machine Details &amp; Fixed Cost '!J11 * 'Machine Details &amp; Fixed Cost '!J13)*(K25/100))+((B26*G26) /
('Machine Details &amp; Fixed Cost '!J11 * 'Machine Details &amp; Fixed Cost '!J13)*(K26/100))</f>
        <v>48.07692307692308</v>
      </c>
      <c r="L28" s="9" t="s">
        <v>37</v>
      </c>
    </row>
    <row r="29" spans="1:12" x14ac:dyDescent="0.25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</row>
    <row r="30" spans="1:12" x14ac:dyDescent="0.25">
      <c r="A30" s="97"/>
      <c r="B30" s="97"/>
      <c r="C30" s="97"/>
      <c r="D30" s="97"/>
      <c r="E30" s="97"/>
      <c r="F30" s="97"/>
      <c r="G30" s="97"/>
      <c r="H30" s="97"/>
      <c r="I30" s="97"/>
      <c r="J30" s="4" t="s">
        <v>82</v>
      </c>
      <c r="K30" s="11">
        <f>('Machine Details &amp; Fixed Cost '!J27 + K19+K28)</f>
        <v>224.44264325587608</v>
      </c>
      <c r="L30" s="9" t="s">
        <v>37</v>
      </c>
    </row>
    <row r="31" spans="1:12" x14ac:dyDescent="0.25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</row>
    <row r="32" spans="1:12" x14ac:dyDescent="0.25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</row>
    <row r="33" spans="1:12" x14ac:dyDescent="0.25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</row>
    <row r="34" spans="1:12" x14ac:dyDescent="0.25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</row>
    <row r="35" spans="1:12" x14ac:dyDescent="0.25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</row>
    <row r="36" spans="1:12" x14ac:dyDescent="0.25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</row>
    <row r="37" spans="1:12" x14ac:dyDescent="0.25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</row>
    <row r="38" spans="1:12" x14ac:dyDescent="0.25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</row>
    <row r="39" spans="1:12" x14ac:dyDescent="0.2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</row>
    <row r="40" spans="1:12" x14ac:dyDescent="0.25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</row>
    <row r="41" spans="1:12" x14ac:dyDescent="0.25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</row>
    <row r="42" spans="1:12" x14ac:dyDescent="0.25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</row>
    <row r="43" spans="1:12" x14ac:dyDescent="0.25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</row>
  </sheetData>
  <sheetProtection selectLockedCells="1"/>
  <mergeCells count="27">
    <mergeCell ref="A11:I13"/>
    <mergeCell ref="K7:L7"/>
    <mergeCell ref="K8:L8"/>
    <mergeCell ref="K9:L9"/>
    <mergeCell ref="I7:I9"/>
    <mergeCell ref="M1:V1048576"/>
    <mergeCell ref="J29:L29"/>
    <mergeCell ref="A31:L43"/>
    <mergeCell ref="C17:D17"/>
    <mergeCell ref="A18:H21"/>
    <mergeCell ref="D7:E10"/>
    <mergeCell ref="F10:L10"/>
    <mergeCell ref="J12:L13"/>
    <mergeCell ref="D16:H16"/>
    <mergeCell ref="J20:L21"/>
    <mergeCell ref="A27:L27"/>
    <mergeCell ref="A3:L4"/>
    <mergeCell ref="A22:L23"/>
    <mergeCell ref="A1:L2"/>
    <mergeCell ref="A5:L6"/>
    <mergeCell ref="A14:L15"/>
    <mergeCell ref="H24:I26"/>
    <mergeCell ref="I16:I21"/>
    <mergeCell ref="D24:E26"/>
    <mergeCell ref="L24:L26"/>
    <mergeCell ref="A28:I30"/>
    <mergeCell ref="L16:L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3C4B-C7A1-420F-8D2B-32BDEDD089F9}">
  <dimension ref="A1:O27"/>
  <sheetViews>
    <sheetView tabSelected="1" workbookViewId="0">
      <selection activeCell="C6" sqref="C6"/>
    </sheetView>
  </sheetViews>
  <sheetFormatPr defaultRowHeight="15" x14ac:dyDescent="0.25"/>
  <cols>
    <col min="1" max="1" width="18" style="5" bestFit="1" customWidth="1"/>
    <col min="2" max="2" width="19.28515625" style="46" customWidth="1"/>
    <col min="3" max="3" width="36.5703125" style="45" customWidth="1"/>
    <col min="4" max="4" width="42.42578125" style="45" bestFit="1" customWidth="1"/>
    <col min="5" max="5" width="8.42578125" style="45" customWidth="1"/>
    <col min="6" max="6" width="9.140625" style="45"/>
    <col min="7" max="7" width="26.28515625" style="45" bestFit="1" customWidth="1"/>
    <col min="8" max="8" width="12.42578125" style="45" bestFit="1" customWidth="1"/>
    <col min="9" max="16384" width="9.140625" style="45"/>
  </cols>
  <sheetData>
    <row r="1" spans="1:15" ht="15" customHeight="1" x14ac:dyDescent="0.25">
      <c r="A1" s="110" t="s">
        <v>181</v>
      </c>
      <c r="B1" s="110"/>
      <c r="C1" s="111"/>
      <c r="D1" s="111"/>
      <c r="E1" s="111"/>
      <c r="F1" s="111"/>
      <c r="G1" s="111"/>
      <c r="H1" s="111"/>
      <c r="I1" s="111"/>
      <c r="J1" s="111"/>
      <c r="K1" s="111"/>
      <c r="L1" s="50"/>
      <c r="M1" s="50"/>
      <c r="N1" s="50"/>
      <c r="O1" s="50"/>
    </row>
    <row r="2" spans="1:15" ht="15" customHeight="1" x14ac:dyDescent="0.25">
      <c r="A2" s="110"/>
      <c r="B2" s="110"/>
      <c r="C2" s="111"/>
      <c r="D2" s="111"/>
      <c r="E2" s="111"/>
      <c r="F2" s="111"/>
      <c r="G2" s="111"/>
      <c r="H2" s="111"/>
      <c r="I2" s="111"/>
      <c r="J2" s="111"/>
      <c r="K2" s="111"/>
      <c r="L2" s="50"/>
      <c r="M2" s="50"/>
      <c r="N2" s="50"/>
      <c r="O2" s="50"/>
    </row>
    <row r="3" spans="1:15" ht="15" customHeight="1" x14ac:dyDescent="0.25">
      <c r="A3" s="4" t="s">
        <v>177</v>
      </c>
      <c r="B3" s="86" t="s">
        <v>103</v>
      </c>
      <c r="C3" s="4" t="s">
        <v>109</v>
      </c>
      <c r="D3" s="80">
        <v>66</v>
      </c>
      <c r="E3" s="111"/>
      <c r="F3" s="111"/>
      <c r="G3" s="111"/>
      <c r="H3" s="111"/>
      <c r="I3" s="111"/>
      <c r="J3" s="111"/>
      <c r="K3" s="111"/>
      <c r="L3" s="50"/>
      <c r="M3" s="50"/>
      <c r="N3" s="50"/>
      <c r="O3" s="50"/>
    </row>
    <row r="4" spans="1:15" s="46" customFormat="1" ht="15" customHeight="1" x14ac:dyDescent="0.25">
      <c r="A4" s="99"/>
      <c r="B4" s="99"/>
      <c r="C4" s="4" t="s">
        <v>107</v>
      </c>
      <c r="D4" s="81">
        <v>55</v>
      </c>
      <c r="E4" s="111"/>
      <c r="F4" s="111"/>
      <c r="G4" s="111"/>
      <c r="H4" s="111"/>
      <c r="I4" s="111"/>
      <c r="J4" s="111"/>
      <c r="K4" s="111"/>
      <c r="L4" s="50"/>
      <c r="M4" s="50"/>
      <c r="N4" s="50"/>
      <c r="O4" s="50"/>
    </row>
    <row r="5" spans="1:15" ht="17.25" customHeight="1" x14ac:dyDescent="0.25">
      <c r="A5" s="99"/>
      <c r="B5" s="99"/>
      <c r="C5" s="4" t="s">
        <v>180</v>
      </c>
      <c r="D5" s="80">
        <v>46</v>
      </c>
      <c r="E5" s="111"/>
      <c r="F5" s="111"/>
      <c r="G5" s="111"/>
      <c r="H5" s="111"/>
      <c r="I5" s="111"/>
      <c r="J5" s="111"/>
      <c r="K5" s="111"/>
      <c r="L5" s="50"/>
      <c r="M5" s="50"/>
      <c r="N5" s="50"/>
      <c r="O5" s="50"/>
    </row>
    <row r="6" spans="1:15" s="46" customFormat="1" ht="15" customHeight="1" x14ac:dyDescent="0.25">
      <c r="A6" s="99"/>
      <c r="B6" s="99"/>
      <c r="C6" s="4" t="s">
        <v>108</v>
      </c>
      <c r="D6" s="47">
        <f>D7/D5</f>
        <v>81.906000000000006</v>
      </c>
      <c r="E6" s="111"/>
      <c r="F6" s="111"/>
      <c r="G6" s="111"/>
      <c r="H6" s="111"/>
      <c r="I6" s="111"/>
      <c r="J6" s="111"/>
      <c r="K6" s="111"/>
      <c r="L6" s="50"/>
      <c r="M6" s="50"/>
      <c r="N6" s="50"/>
      <c r="O6" s="50"/>
    </row>
    <row r="7" spans="1:15" s="46" customFormat="1" ht="15" customHeight="1" x14ac:dyDescent="0.25">
      <c r="A7" s="99"/>
      <c r="B7" s="99"/>
      <c r="C7" s="4" t="s">
        <v>111</v>
      </c>
      <c r="D7" s="6">
        <f>(VLOOKUP(B3, 'Dropdown menu'!J1:K464, 2, FALSE)*1000*D3*0.0001*D5)</f>
        <v>3767.6760000000004</v>
      </c>
      <c r="E7" s="111"/>
      <c r="F7" s="111"/>
      <c r="G7" s="111"/>
      <c r="H7" s="111"/>
      <c r="I7" s="111"/>
      <c r="J7" s="111"/>
      <c r="K7" s="111"/>
      <c r="L7" s="50"/>
      <c r="M7" s="50"/>
      <c r="N7" s="50"/>
      <c r="O7" s="50"/>
    </row>
    <row r="8" spans="1:15" s="46" customFormat="1" ht="15" customHeight="1" x14ac:dyDescent="0.25">
      <c r="A8" s="99"/>
      <c r="B8" s="99"/>
      <c r="C8" s="4" t="s">
        <v>182</v>
      </c>
      <c r="D8" s="48">
        <f>D7*D4</f>
        <v>207222.18000000002</v>
      </c>
      <c r="E8" s="111"/>
      <c r="F8" s="111"/>
      <c r="G8" s="111"/>
      <c r="H8" s="111"/>
      <c r="I8" s="111"/>
      <c r="J8" s="111"/>
      <c r="K8" s="111"/>
      <c r="L8" s="50"/>
      <c r="M8" s="50"/>
      <c r="N8" s="50"/>
      <c r="O8" s="50"/>
    </row>
    <row r="9" spans="1:15" s="46" customFormat="1" ht="15" customHeight="1" x14ac:dyDescent="0.25">
      <c r="A9" s="99"/>
      <c r="B9" s="99"/>
      <c r="C9" s="112"/>
      <c r="D9" s="112"/>
      <c r="E9" s="111"/>
      <c r="F9" s="111"/>
      <c r="G9" s="111"/>
      <c r="H9" s="111"/>
      <c r="I9" s="111"/>
      <c r="J9" s="111"/>
      <c r="K9" s="111"/>
      <c r="L9" s="50"/>
      <c r="M9" s="50"/>
      <c r="N9" s="50"/>
      <c r="O9" s="50"/>
    </row>
    <row r="10" spans="1:15" s="46" customFormat="1" ht="15" customHeight="1" x14ac:dyDescent="0.25">
      <c r="A10" s="43" t="s">
        <v>178</v>
      </c>
      <c r="B10" s="87" t="s">
        <v>103</v>
      </c>
      <c r="C10" s="4" t="s">
        <v>109</v>
      </c>
      <c r="D10" s="80">
        <v>33</v>
      </c>
      <c r="E10" s="111"/>
      <c r="F10" s="111"/>
      <c r="G10" s="111"/>
      <c r="H10" s="111"/>
      <c r="I10" s="111"/>
      <c r="J10" s="111"/>
      <c r="K10" s="111"/>
      <c r="L10" s="50"/>
      <c r="M10" s="50"/>
      <c r="N10" s="50"/>
      <c r="O10" s="50"/>
    </row>
    <row r="11" spans="1:15" ht="15" customHeight="1" x14ac:dyDescent="0.25">
      <c r="A11" s="99"/>
      <c r="B11" s="99"/>
      <c r="C11" s="4" t="s">
        <v>107</v>
      </c>
      <c r="D11" s="81">
        <v>55</v>
      </c>
      <c r="E11" s="111"/>
      <c r="F11" s="111"/>
      <c r="G11" s="111"/>
      <c r="H11" s="111"/>
      <c r="I11" s="111"/>
      <c r="J11" s="111"/>
      <c r="K11" s="111"/>
    </row>
    <row r="12" spans="1:15" ht="17.25" customHeight="1" x14ac:dyDescent="0.25">
      <c r="A12" s="99"/>
      <c r="B12" s="99"/>
      <c r="C12" s="4" t="s">
        <v>180</v>
      </c>
      <c r="D12" s="80">
        <v>88</v>
      </c>
      <c r="E12" s="111"/>
      <c r="F12" s="111"/>
      <c r="G12" s="111"/>
      <c r="H12" s="111"/>
      <c r="I12" s="111"/>
      <c r="J12" s="111"/>
      <c r="K12" s="111"/>
    </row>
    <row r="13" spans="1:15" ht="15" customHeight="1" x14ac:dyDescent="0.25">
      <c r="A13" s="99"/>
      <c r="B13" s="99"/>
      <c r="C13" s="4" t="s">
        <v>108</v>
      </c>
      <c r="D13" s="47">
        <f>D14/D12</f>
        <v>40.953000000000003</v>
      </c>
      <c r="E13" s="111"/>
      <c r="F13" s="111"/>
      <c r="G13" s="111"/>
      <c r="H13" s="111"/>
      <c r="I13" s="111"/>
      <c r="J13" s="111"/>
      <c r="K13" s="111"/>
    </row>
    <row r="14" spans="1:15" ht="15" customHeight="1" x14ac:dyDescent="0.25">
      <c r="A14" s="99"/>
      <c r="B14" s="99"/>
      <c r="C14" s="4" t="s">
        <v>111</v>
      </c>
      <c r="D14" s="6">
        <f>(VLOOKUP(B10, 'Dropdown menu'!J1:K464, 2, FALSE)*1000*D10*0.0001*D12)</f>
        <v>3603.8640000000005</v>
      </c>
      <c r="E14" s="111"/>
      <c r="F14" s="111"/>
      <c r="G14" s="111"/>
      <c r="H14" s="111"/>
      <c r="I14" s="111"/>
      <c r="J14" s="111"/>
      <c r="K14" s="111"/>
    </row>
    <row r="15" spans="1:15" ht="15" customHeight="1" x14ac:dyDescent="0.25">
      <c r="A15" s="99"/>
      <c r="B15" s="99"/>
      <c r="C15" s="4" t="s">
        <v>183</v>
      </c>
      <c r="D15" s="48">
        <f>D14*D11</f>
        <v>198212.52000000002</v>
      </c>
      <c r="E15" s="111"/>
      <c r="F15" s="111"/>
      <c r="G15" s="111"/>
      <c r="H15" s="111"/>
      <c r="I15" s="111"/>
      <c r="J15" s="111"/>
      <c r="K15" s="111"/>
    </row>
    <row r="16" spans="1:15" ht="15" customHeight="1" x14ac:dyDescent="0.25">
      <c r="A16" s="99"/>
      <c r="B16" s="99"/>
      <c r="C16" s="112"/>
      <c r="D16" s="112"/>
      <c r="E16" s="111"/>
      <c r="F16" s="111"/>
      <c r="G16" s="111"/>
      <c r="H16" s="111"/>
      <c r="I16" s="111"/>
      <c r="J16" s="111"/>
      <c r="K16" s="111"/>
    </row>
    <row r="17" spans="1:11" x14ac:dyDescent="0.25">
      <c r="A17" s="43" t="s">
        <v>179</v>
      </c>
      <c r="B17" s="87" t="s">
        <v>100</v>
      </c>
      <c r="C17" s="4" t="s">
        <v>109</v>
      </c>
      <c r="D17" s="80">
        <v>66</v>
      </c>
      <c r="E17" s="111"/>
      <c r="F17" s="111"/>
      <c r="G17" s="111"/>
      <c r="H17" s="111"/>
      <c r="I17" s="111"/>
      <c r="J17" s="111"/>
      <c r="K17" s="111"/>
    </row>
    <row r="18" spans="1:11" ht="23.25" customHeight="1" x14ac:dyDescent="0.35">
      <c r="A18" s="99"/>
      <c r="B18" s="99"/>
      <c r="C18" s="4" t="s">
        <v>107</v>
      </c>
      <c r="D18" s="81">
        <v>55</v>
      </c>
      <c r="E18" s="108" t="s">
        <v>185</v>
      </c>
      <c r="F18" s="108"/>
      <c r="G18" s="108"/>
      <c r="H18" s="109">
        <f>D8+D15+D22</f>
        <v>728040.06</v>
      </c>
      <c r="I18" s="109"/>
      <c r="J18" s="109"/>
      <c r="K18" s="109"/>
    </row>
    <row r="19" spans="1:11" ht="17.25" customHeight="1" x14ac:dyDescent="0.25">
      <c r="A19" s="99"/>
      <c r="B19" s="99"/>
      <c r="C19" s="4" t="s">
        <v>180</v>
      </c>
      <c r="D19" s="80">
        <v>46</v>
      </c>
      <c r="E19" s="111"/>
      <c r="F19" s="111"/>
      <c r="G19" s="111"/>
      <c r="H19" s="111"/>
      <c r="I19" s="111"/>
      <c r="J19" s="111"/>
      <c r="K19" s="111"/>
    </row>
    <row r="20" spans="1:11" ht="15" customHeight="1" x14ac:dyDescent="0.25">
      <c r="A20" s="99"/>
      <c r="B20" s="99"/>
      <c r="C20" s="4" t="s">
        <v>108</v>
      </c>
      <c r="D20" s="47">
        <f>D21/D19</f>
        <v>127.51199999999999</v>
      </c>
      <c r="E20" s="111"/>
      <c r="F20" s="111"/>
      <c r="G20" s="111"/>
      <c r="H20" s="111"/>
      <c r="I20" s="111"/>
      <c r="J20" s="111"/>
      <c r="K20" s="111"/>
    </row>
    <row r="21" spans="1:11" ht="15" customHeight="1" x14ac:dyDescent="0.25">
      <c r="A21" s="99"/>
      <c r="B21" s="99"/>
      <c r="C21" s="4" t="s">
        <v>111</v>
      </c>
      <c r="D21" s="47">
        <f>(VLOOKUP(B17, 'Dropdown menu'!J1:K464, 2, FALSE)*1000*D17*0.0001*D19)</f>
        <v>5865.5519999999997</v>
      </c>
      <c r="E21" s="111"/>
      <c r="F21" s="111"/>
      <c r="G21" s="111"/>
      <c r="H21" s="111"/>
      <c r="I21" s="111"/>
      <c r="J21" s="111"/>
      <c r="K21" s="111"/>
    </row>
    <row r="22" spans="1:11" ht="15" customHeight="1" x14ac:dyDescent="0.25">
      <c r="A22" s="99"/>
      <c r="B22" s="99"/>
      <c r="C22" s="4" t="s">
        <v>184</v>
      </c>
      <c r="D22" s="48">
        <f>D21*D18</f>
        <v>322605.36</v>
      </c>
      <c r="E22" s="111"/>
      <c r="F22" s="111"/>
      <c r="G22" s="111"/>
      <c r="H22" s="111"/>
      <c r="I22" s="111"/>
      <c r="J22" s="111"/>
      <c r="K22" s="111"/>
    </row>
    <row r="23" spans="1:11" x14ac:dyDescent="0.25">
      <c r="A23" s="50"/>
    </row>
    <row r="24" spans="1:11" x14ac:dyDescent="0.25">
      <c r="A24" s="50"/>
    </row>
    <row r="25" spans="1:11" x14ac:dyDescent="0.25">
      <c r="A25" s="50"/>
    </row>
    <row r="26" spans="1:11" x14ac:dyDescent="0.25">
      <c r="A26" s="50"/>
    </row>
    <row r="27" spans="1:11" x14ac:dyDescent="0.25">
      <c r="A27" s="50"/>
    </row>
  </sheetData>
  <sheetProtection selectLockedCells="1"/>
  <mergeCells count="11">
    <mergeCell ref="E18:G18"/>
    <mergeCell ref="H18:K18"/>
    <mergeCell ref="A1:B2"/>
    <mergeCell ref="C1:K2"/>
    <mergeCell ref="A4:B9"/>
    <mergeCell ref="A11:B16"/>
    <mergeCell ref="A18:B22"/>
    <mergeCell ref="E3:K17"/>
    <mergeCell ref="E19:K22"/>
    <mergeCell ref="C9:D9"/>
    <mergeCell ref="C16:D1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4E4A302-E41B-4525-BDC9-BB46ACB8CE8E}">
          <x14:formula1>
            <xm:f>'Dropdown menu'!$J$2:$J$596</xm:f>
          </x14:formula1>
          <xm:sqref>B3</xm:sqref>
        </x14:dataValidation>
        <x14:dataValidation type="list" allowBlank="1" showInputMessage="1" showErrorMessage="1" xr:uid="{FC2DAC32-FC85-4CCA-91B7-D571DA6039B0}">
          <x14:formula1>
            <xm:f>'Dropdown menu'!$J$2:$J$442</xm:f>
          </x14:formula1>
          <xm:sqref>B10</xm:sqref>
        </x14:dataValidation>
        <x14:dataValidation type="list" allowBlank="1" showInputMessage="1" showErrorMessage="1" xr:uid="{18743EF9-5372-4327-A462-23968D5CFC53}">
          <x14:formula1>
            <xm:f>'Dropdown menu'!$J$2:$J$332</xm:f>
          </x14:formula1>
          <xm:sqref>B17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73A9-8AF1-4926-A7A9-B8255B56B370}">
  <dimension ref="A1:K12"/>
  <sheetViews>
    <sheetView topLeftCell="B1" workbookViewId="0">
      <selection activeCell="D23" sqref="D23"/>
    </sheetView>
  </sheetViews>
  <sheetFormatPr defaultRowHeight="15" x14ac:dyDescent="0.25"/>
  <cols>
    <col min="1" max="1" width="35.42578125" bestFit="1" customWidth="1"/>
    <col min="2" max="2" width="32.7109375" customWidth="1"/>
    <col min="3" max="3" width="35.85546875" bestFit="1" customWidth="1"/>
    <col min="4" max="4" width="27.7109375" customWidth="1"/>
    <col min="5" max="5" width="15.7109375" customWidth="1"/>
    <col min="8" max="8" width="11.140625" customWidth="1"/>
    <col min="10" max="10" width="10.28515625" bestFit="1" customWidth="1"/>
    <col min="11" max="11" width="15.28515625" style="16" bestFit="1" customWidth="1"/>
  </cols>
  <sheetData>
    <row r="1" spans="1:11" s="1" customFormat="1" ht="17.25" x14ac:dyDescent="0.25">
      <c r="A1" s="1" t="s">
        <v>72</v>
      </c>
      <c r="B1" s="1" t="s">
        <v>2</v>
      </c>
      <c r="C1" s="1" t="s">
        <v>6</v>
      </c>
      <c r="D1" s="1" t="s">
        <v>14</v>
      </c>
      <c r="E1" s="1" t="s">
        <v>87</v>
      </c>
      <c r="F1" s="1" t="s">
        <v>85</v>
      </c>
      <c r="G1" s="1" t="s">
        <v>86</v>
      </c>
      <c r="J1" s="1" t="s">
        <v>96</v>
      </c>
      <c r="K1" s="15" t="s">
        <v>110</v>
      </c>
    </row>
    <row r="2" spans="1:11" x14ac:dyDescent="0.25">
      <c r="A2" t="s">
        <v>73</v>
      </c>
      <c r="B2" t="s">
        <v>76</v>
      </c>
      <c r="C2" t="s">
        <v>79</v>
      </c>
      <c r="D2" t="s">
        <v>89</v>
      </c>
      <c r="E2">
        <v>2</v>
      </c>
      <c r="F2">
        <v>26</v>
      </c>
      <c r="G2">
        <v>8</v>
      </c>
      <c r="J2" t="s">
        <v>97</v>
      </c>
      <c r="K2" s="16">
        <v>8.65</v>
      </c>
    </row>
    <row r="3" spans="1:11" x14ac:dyDescent="0.25">
      <c r="A3" t="s">
        <v>74</v>
      </c>
      <c r="B3" t="s">
        <v>77</v>
      </c>
      <c r="C3" t="s">
        <v>80</v>
      </c>
      <c r="D3" t="s">
        <v>90</v>
      </c>
      <c r="E3">
        <v>2</v>
      </c>
      <c r="F3">
        <v>14</v>
      </c>
      <c r="G3">
        <v>8</v>
      </c>
      <c r="J3" s="44" t="s">
        <v>186</v>
      </c>
      <c r="K3" s="49">
        <v>0</v>
      </c>
    </row>
    <row r="4" spans="1:11" x14ac:dyDescent="0.25">
      <c r="A4" t="s">
        <v>75</v>
      </c>
      <c r="B4" t="s">
        <v>78</v>
      </c>
      <c r="C4" t="s">
        <v>81</v>
      </c>
      <c r="D4" t="s">
        <v>92</v>
      </c>
      <c r="E4">
        <v>3</v>
      </c>
      <c r="F4">
        <v>60</v>
      </c>
      <c r="G4">
        <v>4</v>
      </c>
      <c r="J4" t="s">
        <v>98</v>
      </c>
      <c r="K4" s="16">
        <v>7.19</v>
      </c>
    </row>
    <row r="5" spans="1:11" x14ac:dyDescent="0.25">
      <c r="A5" t="s">
        <v>75</v>
      </c>
      <c r="B5" t="s">
        <v>88</v>
      </c>
      <c r="C5" t="s">
        <v>81</v>
      </c>
      <c r="D5" t="s">
        <v>91</v>
      </c>
      <c r="E5">
        <v>2</v>
      </c>
      <c r="F5">
        <v>30</v>
      </c>
      <c r="G5">
        <v>8</v>
      </c>
      <c r="J5" t="s">
        <v>99</v>
      </c>
      <c r="K5" s="16">
        <v>8.9</v>
      </c>
    </row>
    <row r="6" spans="1:11" x14ac:dyDescent="0.25">
      <c r="C6" t="s">
        <v>172</v>
      </c>
      <c r="J6" t="s">
        <v>100</v>
      </c>
      <c r="K6" s="16">
        <v>19.32</v>
      </c>
    </row>
    <row r="7" spans="1:11" x14ac:dyDescent="0.25">
      <c r="C7" t="s">
        <v>173</v>
      </c>
      <c r="J7" t="s">
        <v>101</v>
      </c>
      <c r="K7" s="16">
        <v>8.9</v>
      </c>
    </row>
    <row r="8" spans="1:11" x14ac:dyDescent="0.25">
      <c r="C8" t="s">
        <v>174</v>
      </c>
      <c r="J8" t="s">
        <v>102</v>
      </c>
      <c r="K8" s="16">
        <v>21.45</v>
      </c>
    </row>
    <row r="9" spans="1:11" x14ac:dyDescent="0.25">
      <c r="J9" t="s">
        <v>103</v>
      </c>
      <c r="K9" s="16">
        <v>12.41</v>
      </c>
    </row>
    <row r="10" spans="1:11" x14ac:dyDescent="0.25">
      <c r="J10" t="s">
        <v>104</v>
      </c>
      <c r="K10" s="16">
        <v>10.49</v>
      </c>
    </row>
    <row r="11" spans="1:11" x14ac:dyDescent="0.25">
      <c r="J11" t="s">
        <v>105</v>
      </c>
      <c r="K11" s="16">
        <v>7.31</v>
      </c>
    </row>
    <row r="12" spans="1:11" x14ac:dyDescent="0.25">
      <c r="J12" t="s">
        <v>106</v>
      </c>
      <c r="K12" s="16">
        <v>7.14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Front Page</vt:lpstr>
      <vt:lpstr>Machine Details &amp; Fixed Cost </vt:lpstr>
      <vt:lpstr>Variable &amp; Labour Cost</vt:lpstr>
      <vt:lpstr>Metal's Calculator</vt:lpstr>
      <vt:lpstr>Dropdown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Oberabor</dc:creator>
  <cp:lastModifiedBy>Emmanuel Oberabor</cp:lastModifiedBy>
  <dcterms:created xsi:type="dcterms:W3CDTF">2023-11-02T13:00:40Z</dcterms:created>
  <dcterms:modified xsi:type="dcterms:W3CDTF">2023-11-08T18:02:30Z</dcterms:modified>
</cp:coreProperties>
</file>