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ofl\Desktop\"/>
    </mc:Choice>
  </mc:AlternateContent>
  <xr:revisionPtr revIDLastSave="0" documentId="13_ncr:1_{6765D3B3-A5D2-4EA0-B3E8-1B1EB0553B90}" xr6:coauthVersionLast="47" xr6:coauthVersionMax="47" xr10:uidLastSave="{00000000-0000-0000-0000-000000000000}"/>
  <bookViews>
    <workbookView xWindow="-110" yWindow="-110" windowWidth="25820" windowHeight="15500" firstSheet="1" activeTab="1" xr2:uid="{07F69075-F93D-4183-A2FB-B0566210F04C}"/>
  </bookViews>
  <sheets>
    <sheet name="Sheet2" sheetId="2" state="hidden" r:id="rId1"/>
    <sheet name="Compounding Calculat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3" l="1"/>
  <c r="C2" i="2" l="1"/>
  <c r="B2" i="2" s="1"/>
  <c r="C3" i="2" s="1"/>
  <c r="J2" i="2"/>
  <c r="B9" i="3" l="1"/>
  <c r="L2" i="2" s="1"/>
  <c r="B3" i="2"/>
  <c r="B10" i="3" s="1"/>
  <c r="J3" i="2"/>
  <c r="J8" i="2"/>
  <c r="C4" i="2" l="1"/>
  <c r="B4" i="2" s="1"/>
  <c r="J6" i="2"/>
  <c r="B11" i="3" l="1"/>
  <c r="C5" i="2"/>
  <c r="B5" i="2" s="1"/>
  <c r="J5" i="2"/>
  <c r="C6" i="2" l="1"/>
  <c r="B6" i="2"/>
  <c r="B12" i="3"/>
  <c r="C7" i="2" l="1"/>
  <c r="B7" i="2" s="1"/>
  <c r="B13" i="3"/>
  <c r="B14" i="3" l="1"/>
  <c r="C8" i="2"/>
  <c r="B8" i="2"/>
  <c r="B15" i="3" l="1"/>
  <c r="C9" i="2"/>
  <c r="B9" i="2" s="1"/>
  <c r="B16" i="3" l="1"/>
  <c r="C10" i="2"/>
  <c r="B10" i="2" s="1"/>
  <c r="B17" i="3" l="1"/>
  <c r="C11" i="2"/>
  <c r="B11" i="2" s="1"/>
  <c r="B18" i="3" l="1"/>
  <c r="C12" i="2"/>
  <c r="B12" i="2"/>
  <c r="B19" i="3" l="1"/>
  <c r="C13" i="2"/>
  <c r="B13" i="2"/>
  <c r="B20" i="3" l="1"/>
  <c r="C14" i="2"/>
  <c r="B14" i="2"/>
  <c r="B21" i="3" l="1"/>
  <c r="C15" i="2"/>
  <c r="B15" i="2"/>
  <c r="J7" i="2"/>
  <c r="B22" i="3" l="1"/>
  <c r="C16" i="2"/>
  <c r="B16" i="2" s="1"/>
  <c r="B23" i="3" l="1"/>
  <c r="C17" i="2"/>
  <c r="B17" i="2"/>
  <c r="B24" i="3" l="1"/>
  <c r="C18" i="2"/>
  <c r="B18" i="2"/>
  <c r="B25" i="3" l="1"/>
  <c r="C19" i="2"/>
  <c r="B19" i="2" s="1"/>
  <c r="B26" i="3" l="1"/>
  <c r="C20" i="2"/>
  <c r="B20" i="2" s="1"/>
  <c r="B27" i="3" l="1"/>
  <c r="C21" i="2"/>
  <c r="B21" i="2" s="1"/>
  <c r="B28" i="3" l="1"/>
  <c r="C22" i="2"/>
  <c r="B22" i="2" s="1"/>
  <c r="D9" i="3" l="1"/>
  <c r="C23" i="2"/>
  <c r="B23" i="2"/>
  <c r="D10" i="3" l="1"/>
  <c r="C24" i="2"/>
  <c r="B24" i="2"/>
  <c r="D11" i="3" l="1"/>
  <c r="C25" i="2"/>
  <c r="B25" i="2" s="1"/>
  <c r="D12" i="3" l="1"/>
  <c r="C26" i="2"/>
  <c r="B26" i="2"/>
  <c r="D13" i="3" l="1"/>
  <c r="C27" i="2"/>
  <c r="B27" i="2"/>
  <c r="D14" i="3" l="1"/>
  <c r="C28" i="2"/>
  <c r="B28" i="2"/>
  <c r="D15" i="3" l="1"/>
  <c r="C29" i="2"/>
  <c r="B29" i="2" s="1"/>
  <c r="D16" i="3" l="1"/>
  <c r="C30" i="2"/>
  <c r="B30" i="2" s="1"/>
  <c r="D17" i="3" l="1"/>
  <c r="C31" i="2"/>
  <c r="B31" i="2" s="1"/>
  <c r="D18" i="3" l="1"/>
  <c r="C32" i="2"/>
  <c r="B32" i="2"/>
  <c r="D19" i="3" l="1"/>
  <c r="C33" i="2"/>
  <c r="B33" i="2"/>
  <c r="D20" i="3" l="1"/>
  <c r="C34" i="2"/>
  <c r="B34" i="2"/>
  <c r="D21" i="3" l="1"/>
  <c r="C35" i="2"/>
  <c r="B35" i="2" s="1"/>
  <c r="D22" i="3" l="1"/>
  <c r="C36" i="2"/>
  <c r="B36" i="2" s="1"/>
  <c r="D23" i="3" l="1"/>
  <c r="C37" i="2"/>
  <c r="B37" i="2"/>
  <c r="D24" i="3" l="1"/>
  <c r="C38" i="2"/>
  <c r="B38" i="2" s="1"/>
  <c r="D25" i="3" l="1"/>
  <c r="C39" i="2"/>
  <c r="B39" i="2"/>
  <c r="D26" i="3" l="1"/>
  <c r="C40" i="2"/>
  <c r="B40" i="2"/>
  <c r="D27" i="3" l="1"/>
  <c r="C41" i="2"/>
  <c r="B41" i="2"/>
  <c r="D28" i="3" s="1"/>
  <c r="J9" i="2" s="1"/>
  <c r="I30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<sst xmlns="http://schemas.openxmlformats.org/spreadsheetml/2006/main" count="96" uniqueCount="56">
  <si>
    <t>Investment</t>
  </si>
  <si>
    <t>Capital Reinvested 2</t>
  </si>
  <si>
    <t>Quartely Interest rate:</t>
  </si>
  <si>
    <t>Multiplier:</t>
  </si>
  <si>
    <t>Investment after 1st Capital Returned:</t>
  </si>
  <si>
    <t>Investment after 2nd Capital Returned:</t>
  </si>
  <si>
    <t>Capital Reinvested 1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</si>
  <si>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</si>
  <si>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</si>
  <si>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</si>
  <si>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</si>
  <si>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</si>
  <si>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</si>
  <si>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</si>
  <si>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</si>
  <si>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</si>
  <si>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</si>
  <si>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</si>
  <si>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</si>
  <si>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</si>
  <si>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</si>
  <si>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</si>
  <si>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</si>
  <si>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</si>
  <si>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</si>
  <si>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</si>
  <si>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</si>
  <si>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</si>
  <si>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</si>
  <si>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</si>
  <si>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</si>
  <si>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</si>
  <si>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</si>
  <si>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</si>
  <si>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</si>
  <si>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</si>
  <si>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</si>
  <si>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</si>
  <si>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</si>
  <si>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</si>
  <si>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</si>
  <si>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</si>
  <si>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</si>
  <si>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</si>
  <si>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</si>
  <si>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</si>
  <si>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</si>
  <si>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PROFIT DISRIBUTION</t>
  </si>
  <si>
    <t>QUARTERLY COMPOUNDING INVESTMENT CALCULATOR</t>
  </si>
  <si>
    <t>Profit (%)</t>
  </si>
  <si>
    <t>Total Accumulated Value (10 Years):</t>
  </si>
  <si>
    <t>Total value</t>
  </si>
  <si>
    <t>Net Profit (10 Years):</t>
  </si>
  <si>
    <t>Input Investment and Profit Rate Values in the Fields Above</t>
  </si>
  <si>
    <t>Incremental</t>
  </si>
  <si>
    <t xml:space="preserve">Cumulative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</si>
</sst>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[$$-409]#,##0"/>
    <numFmt numFmtId="166" formatCode="[$$-45C]#,##0"/>
    <numFmt numFmtId="167" formatCode="#,##0.00000"/>
    <numFmt numFmtId="168" formatCode="&quot;$&quot;#,##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166" fontId="0" fillId="0" borderId="0" xfId="0" applyNumberFormat="1"/>
    <xf numFmtId="0" fontId="0" fillId="4" borderId="0" xfId="0" applyFill="1"/>
    <xf numFmtId="165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0" fontId="1" fillId="0" borderId="7" xfId="0" applyFont="1" applyBorder="1"/>
    <xf numFmtId="164" fontId="0" fillId="0" borderId="8" xfId="0" applyNumberFormat="1" applyBorder="1"/>
    <xf numFmtId="0" fontId="1" fillId="0" borderId="9" xfId="0" applyFont="1" applyBorder="1"/>
    <xf numFmtId="164" fontId="0" fillId="0" borderId="10" xfId="0" applyNumberFormat="1" applyBorder="1"/>
    <xf numFmtId="0" fontId="1" fillId="0" borderId="10" xfId="0" applyFont="1" applyBorder="1"/>
    <xf numFmtId="164" fontId="0" fillId="0" borderId="11" xfId="0" applyNumberFormat="1" applyBorder="1"/>
    <xf numFmtId="0" fontId="0" fillId="0" borderId="5" xfId="0" applyBorder="1"/>
    <xf numFmtId="0" fontId="0" fillId="0" borderId="10" xfId="0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164" fontId="2" fillId="8" borderId="13" xfId="0" applyNumberFormat="1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/>
    </xf>
    <xf numFmtId="9" fontId="2" fillId="7" borderId="15" xfId="0" applyNumberFormat="1" applyFont="1" applyFill="1" applyBorder="1" applyAlignment="1">
      <alignment horizontal="center"/>
    </xf>
    <xf numFmtId="9" fontId="2" fillId="7" borderId="1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64" fontId="2" fillId="7" borderId="4" xfId="0" applyNumberFormat="1" applyFont="1" applyFill="1" applyBorder="1" applyAlignment="1">
      <alignment horizontal="center" vertical="center"/>
    </xf>
    <xf numFmtId="164" fontId="2" fillId="7" borderId="5" xfId="0" applyNumberFormat="1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164" fontId="2" fillId="7" borderId="9" xfId="0" applyNumberFormat="1" applyFont="1" applyFill="1" applyBorder="1" applyAlignment="1">
      <alignment horizontal="center" vertical="center"/>
    </xf>
    <xf numFmtId="164" fontId="2" fillId="7" borderId="10" xfId="0" applyNumberFormat="1" applyFont="1" applyFill="1" applyBorder="1" applyAlignment="1">
      <alignment horizontal="center" vertical="center"/>
    </xf>
    <xf numFmtId="164" fontId="2" fillId="7" borderId="11" xfId="0" applyNumberFormat="1" applyFont="1" applyFill="1" applyBorder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166" fontId="0" fillId="0" borderId="0" xfId="0" applyNumberFormat="1" applyFill="1"/>
    <xf numFmtId="0" fontId="0" fillId="0" borderId="0" xfId="0" applyFill="1"/>
    <xf numFmtId="0" fontId="1" fillId="0" borderId="0" xfId="0" applyFont="1" applyBorder="1"/>
    <xf numFmtId="164" fontId="0" fillId="0" borderId="0" xfId="0" applyNumberFormat="1" applyBorder="1"/>
    <xf numFmtId="0" fontId="1" fillId="7" borderId="4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Sheet2!$A$2:$A$41</c:f>
              <c:strCache>
                <c:ptCount val="4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  <c:pt idx="22">
                  <c:v>Q23</c:v>
                </c:pt>
                <c:pt idx="23">
                  <c:v>Q24</c:v>
                </c:pt>
                <c:pt idx="24">
                  <c:v>Q25</c:v>
                </c:pt>
                <c:pt idx="25">
                  <c:v>Q26</c:v>
                </c:pt>
                <c:pt idx="26">
                  <c:v>Q27</c:v>
                </c:pt>
                <c:pt idx="27">
                  <c:v>Q28</c:v>
                </c:pt>
                <c:pt idx="28">
                  <c:v>Q29</c:v>
                </c:pt>
                <c:pt idx="29">
                  <c:v>Q30</c:v>
                </c:pt>
                <c:pt idx="30">
                  <c:v>Q31</c:v>
                </c:pt>
                <c:pt idx="31">
                  <c:v>Q32</c:v>
                </c:pt>
                <c:pt idx="32">
                  <c:v>Q33</c:v>
                </c:pt>
                <c:pt idx="33">
                  <c:v>Q34</c:v>
                </c:pt>
                <c:pt idx="34">
                  <c:v>Q35</c:v>
                </c:pt>
                <c:pt idx="35">
                  <c:v>Q36</c:v>
                </c:pt>
                <c:pt idx="36">
                  <c:v>Q37</c:v>
                </c:pt>
                <c:pt idx="37">
                  <c:v>Q38</c:v>
                </c:pt>
                <c:pt idx="38">
                  <c:v>Q39</c:v>
                </c:pt>
                <c:pt idx="39">
                  <c:v>Q40</c:v>
                </c:pt>
              </c:strCache>
            </c:strRef>
          </c:cat>
          <c:val>
            <c:numRef>
              <c:f>Sheet2!$B$2:$B$41</c:f>
              <c:numCache>
                <c:formatCode>[$$-45C]#,##0</c:formatCode>
                <c:ptCount val="40"/>
                <c:pt idx="0">
                  <c:v>35000</c:v>
                </c:pt>
                <c:pt idx="1">
                  <c:v>71225</c:v>
                </c:pt>
                <c:pt idx="2">
                  <c:v>108717.875</c:v>
                </c:pt>
                <c:pt idx="3">
                  <c:v>147523.00062499999</c:v>
                </c:pt>
                <c:pt idx="4">
                  <c:v>187686.305646875</c:v>
                </c:pt>
                <c:pt idx="5">
                  <c:v>229255.32634451563</c:v>
                </c:pt>
                <c:pt idx="6">
                  <c:v>272279.26276657369</c:v>
                </c:pt>
                <c:pt idx="7">
                  <c:v>316809.03696340381</c:v>
                </c:pt>
                <c:pt idx="8">
                  <c:v>362897.35325712292</c:v>
                </c:pt>
                <c:pt idx="9">
                  <c:v>410598.7606211222</c:v>
                </c:pt>
                <c:pt idx="10">
                  <c:v>459969.71724286146</c:v>
                </c:pt>
                <c:pt idx="11">
                  <c:v>511068.65734636161</c:v>
                </c:pt>
                <c:pt idx="12">
                  <c:v>563956.06035348424</c:v>
                </c:pt>
                <c:pt idx="13">
                  <c:v>618694.52246585616</c:v>
                </c:pt>
                <c:pt idx="14">
                  <c:v>675348.8307521611</c:v>
                </c:pt>
                <c:pt idx="15">
                  <c:v>733986.03982848674</c:v>
                </c:pt>
                <c:pt idx="16">
                  <c:v>794675.55122248374</c:v>
                </c:pt>
                <c:pt idx="17">
                  <c:v>857489.19551527069</c:v>
                </c:pt>
                <c:pt idx="18">
                  <c:v>922501.31735830521</c:v>
                </c:pt>
                <c:pt idx="19">
                  <c:v>989788.86346584593</c:v>
                </c:pt>
                <c:pt idx="20">
                  <c:v>1059431.4736871505</c:v>
                </c:pt>
                <c:pt idx="21">
                  <c:v>1131511.5752662008</c:v>
                </c:pt>
                <c:pt idx="22">
                  <c:v>1206114.4804005178</c:v>
                </c:pt>
                <c:pt idx="23">
                  <c:v>1283328.4872145359</c:v>
                </c:pt>
                <c:pt idx="24">
                  <c:v>1363244.9842670448</c:v>
                </c:pt>
                <c:pt idx="25">
                  <c:v>1445958.5587163914</c:v>
                </c:pt>
                <c:pt idx="26">
                  <c:v>1531567.1082714652</c:v>
                </c:pt>
                <c:pt idx="27">
                  <c:v>1620171.9570609664</c:v>
                </c:pt>
                <c:pt idx="28">
                  <c:v>1711877.9755581003</c:v>
                </c:pt>
                <c:pt idx="29">
                  <c:v>1806793.7047026339</c:v>
                </c:pt>
                <c:pt idx="30">
                  <c:v>1905031.484367226</c:v>
                </c:pt>
                <c:pt idx="31">
                  <c:v>2006707.5863200789</c:v>
                </c:pt>
                <c:pt idx="32">
                  <c:v>2111942.3518412816</c:v>
                </c:pt>
                <c:pt idx="33">
                  <c:v>2220860.3341557267</c:v>
                </c:pt>
                <c:pt idx="34">
                  <c:v>2333590.445851177</c:v>
                </c:pt>
                <c:pt idx="35">
                  <c:v>2450266.1114559681</c:v>
                </c:pt>
                <c:pt idx="36">
                  <c:v>2571025.4253569269</c:v>
                </c:pt>
                <c:pt idx="37">
                  <c:v>2696011.3152444195</c:v>
                </c:pt>
                <c:pt idx="38">
                  <c:v>2825371.7112779743</c:v>
                </c:pt>
                <c:pt idx="39">
                  <c:v>2959259.7211727034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E-4A3A-B776-977CABF0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830960"/>
        <c:axId val="686829520"/>
      </c:lineChart>
      <c:catAx>
        <c:axId val="68683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6829520"/>
        <c:crosses val="autoZero"/>
        <c:auto val="1"/>
        <c:lblAlgn val="ctr"/>
        <c:lblOffset val="100"/>
        <c:noMultiLvlLbl val="0"/>
      </c:catAx>
      <c:valAx>
        <c:axId val="6868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683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20" normalizeH="0" baseline="0">
                <a:solidFill>
                  <a:schemeClr val="tx1"/>
                </a:solidFill>
              </a:rPr>
              <a:t>Capable Capital Compounding Investment</a:t>
            </a:r>
            <a:endParaRPr lang="en-US" sz="14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Compounding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Sheet2!$A$2:$A$41</c:f>
              <c:strCache>
                <c:ptCount val="4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  <c:pt idx="22">
                  <c:v>Q23</c:v>
                </c:pt>
                <c:pt idx="23">
                  <c:v>Q24</c:v>
                </c:pt>
                <c:pt idx="24">
                  <c:v>Q25</c:v>
                </c:pt>
                <c:pt idx="25">
                  <c:v>Q26</c:v>
                </c:pt>
                <c:pt idx="26">
                  <c:v>Q27</c:v>
                </c:pt>
                <c:pt idx="27">
                  <c:v>Q28</c:v>
                </c:pt>
                <c:pt idx="28">
                  <c:v>Q29</c:v>
                </c:pt>
                <c:pt idx="29">
                  <c:v>Q30</c:v>
                </c:pt>
                <c:pt idx="30">
                  <c:v>Q31</c:v>
                </c:pt>
                <c:pt idx="31">
                  <c:v>Q32</c:v>
                </c:pt>
                <c:pt idx="32">
                  <c:v>Q33</c:v>
                </c:pt>
                <c:pt idx="33">
                  <c:v>Q34</c:v>
                </c:pt>
                <c:pt idx="34">
                  <c:v>Q35</c:v>
                </c:pt>
                <c:pt idx="35">
                  <c:v>Q36</c:v>
                </c:pt>
                <c:pt idx="36">
                  <c:v>Q37</c:v>
                </c:pt>
                <c:pt idx="37">
                  <c:v>Q38</c:v>
                </c:pt>
                <c:pt idx="38">
                  <c:v>Q39</c:v>
                </c:pt>
                <c:pt idx="39">
                  <c:v>Q40</c:v>
                </c:pt>
              </c:strCache>
            </c:strRef>
          </c:cat>
          <c:val>
            <c:numRef>
              <c:f>Sheet2!$B$2:$B$41</c:f>
              <c:numCache>
                <c:formatCode>[$$-45C]#,##0</c:formatCode>
                <c:ptCount val="40"/>
                <c:pt idx="0">
                  <c:v>35000</c:v>
                </c:pt>
                <c:pt idx="1">
                  <c:v>71225</c:v>
                </c:pt>
                <c:pt idx="2">
                  <c:v>108717.875</c:v>
                </c:pt>
                <c:pt idx="3">
                  <c:v>147523.00062499999</c:v>
                </c:pt>
                <c:pt idx="4">
                  <c:v>187686.305646875</c:v>
                </c:pt>
                <c:pt idx="5">
                  <c:v>229255.32634451563</c:v>
                </c:pt>
                <c:pt idx="6">
                  <c:v>272279.26276657369</c:v>
                </c:pt>
                <c:pt idx="7">
                  <c:v>316809.03696340381</c:v>
                </c:pt>
                <c:pt idx="8">
                  <c:v>362897.35325712292</c:v>
                </c:pt>
                <c:pt idx="9">
                  <c:v>410598.7606211222</c:v>
                </c:pt>
                <c:pt idx="10">
                  <c:v>459969.71724286146</c:v>
                </c:pt>
                <c:pt idx="11">
                  <c:v>511068.65734636161</c:v>
                </c:pt>
                <c:pt idx="12">
                  <c:v>563956.06035348424</c:v>
                </c:pt>
                <c:pt idx="13">
                  <c:v>618694.52246585616</c:v>
                </c:pt>
                <c:pt idx="14">
                  <c:v>675348.8307521611</c:v>
                </c:pt>
                <c:pt idx="15">
                  <c:v>733986.03982848674</c:v>
                </c:pt>
                <c:pt idx="16">
                  <c:v>794675.55122248374</c:v>
                </c:pt>
                <c:pt idx="17">
                  <c:v>857489.19551527069</c:v>
                </c:pt>
                <c:pt idx="18">
                  <c:v>922501.31735830521</c:v>
                </c:pt>
                <c:pt idx="19">
                  <c:v>989788.86346584593</c:v>
                </c:pt>
                <c:pt idx="20">
                  <c:v>1059431.4736871505</c:v>
                </c:pt>
                <c:pt idx="21">
                  <c:v>1131511.5752662008</c:v>
                </c:pt>
                <c:pt idx="22">
                  <c:v>1206114.4804005178</c:v>
                </c:pt>
                <c:pt idx="23">
                  <c:v>1283328.4872145359</c:v>
                </c:pt>
                <c:pt idx="24">
                  <c:v>1363244.9842670448</c:v>
                </c:pt>
                <c:pt idx="25">
                  <c:v>1445958.5587163914</c:v>
                </c:pt>
                <c:pt idx="26">
                  <c:v>1531567.1082714652</c:v>
                </c:pt>
                <c:pt idx="27">
                  <c:v>1620171.9570609664</c:v>
                </c:pt>
                <c:pt idx="28">
                  <c:v>1711877.9755581003</c:v>
                </c:pt>
                <c:pt idx="29">
                  <c:v>1806793.7047026339</c:v>
                </c:pt>
                <c:pt idx="30">
                  <c:v>1905031.484367226</c:v>
                </c:pt>
                <c:pt idx="31">
                  <c:v>2006707.5863200789</c:v>
                </c:pt>
                <c:pt idx="32">
                  <c:v>2111942.3518412816</c:v>
                </c:pt>
                <c:pt idx="33">
                  <c:v>2220860.3341557267</c:v>
                </c:pt>
                <c:pt idx="34">
                  <c:v>2333590.445851177</c:v>
                </c:pt>
                <c:pt idx="35">
                  <c:v>2450266.1114559681</c:v>
                </c:pt>
                <c:pt idx="36">
                  <c:v>2571025.4253569269</c:v>
                </c:pt>
                <c:pt idx="37">
                  <c:v>2696011.3152444195</c:v>
                </c:pt>
                <c:pt idx="38">
                  <c:v>2825371.7112779743</c:v>
                </c:pt>
                <c:pt idx="39">
                  <c:v>2959259.7211727034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B-4BDB-B74E-34CD44980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830960"/>
        <c:axId val="686829520"/>
      </c:lineChart>
      <c:catAx>
        <c:axId val="68683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6829520"/>
        <c:crosses val="autoZero"/>
        <c:auto val="1"/>
        <c:lblAlgn val="ctr"/>
        <c:lblOffset val="100"/>
        <c:noMultiLvlLbl val="0"/>
      </c:catAx>
      <c:valAx>
        <c:axId val="6868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683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13</xdr:row>
      <xdr:rowOff>66675</xdr:rowOff>
    </xdr:from>
    <xdr:to>
      <xdr:col>8</xdr:col>
      <xdr:colOff>1803400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C727F-21D7-5934-97D4-08CDCF241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19</xdr:col>
      <xdr:colOff>596900</xdr:colOff>
      <xdr:row>28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6BC05-F699-4956-AFED-D988B89D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CCEB-6053-4C54-AB2A-6B3515D5B305}">
  <dimension ref="A1:L41"/>
  <sheetViews>
    <sheetView topLeftCell="A2" workbookViewId="0">
      <selection activeCell="G23" sqref="G23"/>
    </sheetView>
  </sheetViews>
  <sheetFormatPr defaultRowHeight="14.5" x14ac:dyDescent="0.35"/>
  <cols>
    <col min="1" max="1" width="10.26953125" style="1" bestFit="1" customWidth="1"/>
    <col min="2" max="2" width="9.90625" style="64" bestFit="1" customWidth="1"/>
    <col min="3" max="3" width="10.90625" style="63" bestFit="1" customWidth="1"/>
    <col min="7" max="7" width="9.90625" bestFit="1" customWidth="1"/>
    <col min="9" max="9" width="32.26953125" bestFit="1" customWidth="1"/>
    <col min="10" max="10" width="9.90625" bestFit="1" customWidth="1"/>
  </cols>
  <sheetData>
    <row r="1" spans="1:12" x14ac:dyDescent="0.35">
      <c r="B1" s="64" t="s">
        <v>55</v>
      </c>
      <c r="C1" s="63" t="s">
        <v>54</v>
      </c>
    </row>
    <row r="2" spans="1:12" x14ac:dyDescent="0.35">
      <c r="A2" s="1" t="s">
        <v>7</v>
      </c>
      <c r="B2" s="63">
        <f xml:space="preserve"> C2</f>
        <v>35000</v>
      </c>
      <c r="C2" s="63">
        <f>('Compounding Calculator'!$C$30 * 'Compounding Calculator'!$C$31)/4</f>
        <v>35000</v>
      </c>
      <c r="I2" t="s">
        <v>2</v>
      </c>
      <c r="J2">
        <f>'Compounding Calculator'!C31/4</f>
        <v>3.5000000000000003E-2</v>
      </c>
      <c r="L2">
        <f>'Compounding Calculator'!B9</f>
        <v>35000</v>
      </c>
    </row>
    <row r="3" spans="1:12" x14ac:dyDescent="0.35">
      <c r="A3" s="1" t="s">
        <v>8</v>
      </c>
      <c r="B3" s="63">
        <f xml:space="preserve"> B2 + C3</f>
        <v>71225</v>
      </c>
      <c r="C3" s="63">
        <f>('Compounding Calculator'!$C$30 * 'Compounding Calculator'!$C$31) / 4 + B2 * ('Compounding Calculator'!$C$31 / 4)</f>
        <v>36225</v>
      </c>
      <c r="I3" t="s">
        <v>3</v>
      </c>
      <c r="J3">
        <f>1+J2</f>
        <v>1.0349999999999999</v>
      </c>
    </row>
    <row r="4" spans="1:12" x14ac:dyDescent="0.35">
      <c r="A4" s="1" t="s">
        <v>9</v>
      </c>
      <c r="B4" s="63">
        <f xml:space="preserve"> B3 + C4</f>
        <v>108717.875</v>
      </c>
      <c r="C4" s="63">
        <f>('Compounding Calculator'!$C$30 * 'Compounding Calculator'!$C$31) / 4 + B3 * ('Compounding Calculator'!$C$31 / 4)</f>
        <v>37492.875</v>
      </c>
    </row>
    <row r="5" spans="1:12" x14ac:dyDescent="0.35">
      <c r="A5" s="1" t="s">
        <v>10</v>
      </c>
      <c r="B5" s="63">
        <f xml:space="preserve"> B4 + C5</f>
        <v>147523.00062499999</v>
      </c>
      <c r="C5" s="63">
        <f>('Compounding Calculator'!$C$30 * 'Compounding Calculator'!$C$31) / 4 + B4 * ('Compounding Calculator'!$C$31 / 4)</f>
        <v>38805.125625000001</v>
      </c>
      <c r="I5" s="7" t="s">
        <v>4</v>
      </c>
      <c r="J5" s="8" t="e">
        <f>#REF!-#REF!</f>
        <v>#REF!</v>
      </c>
    </row>
    <row r="6" spans="1:12" x14ac:dyDescent="0.35">
      <c r="A6" s="1" t="s">
        <v>11</v>
      </c>
      <c r="B6" s="63">
        <f xml:space="preserve"> B5 + C6</f>
        <v>187686.305646875</v>
      </c>
      <c r="C6" s="63">
        <f>('Compounding Calculator'!$C$30 * 'Compounding Calculator'!$C$31) / 4 + B5 * ('Compounding Calculator'!$C$31 / 4)</f>
        <v>40163.305021875</v>
      </c>
      <c r="I6" s="4" t="s">
        <v>6</v>
      </c>
      <c r="J6" s="5" t="e">
        <f>#REF!</f>
        <v>#REF!</v>
      </c>
    </row>
    <row r="7" spans="1:12" x14ac:dyDescent="0.35">
      <c r="A7" s="1" t="s">
        <v>12</v>
      </c>
      <c r="B7" s="63">
        <f xml:space="preserve"> B6 + C7</f>
        <v>229255.32634451563</v>
      </c>
      <c r="C7" s="63">
        <f>('Compounding Calculator'!$C$30 * 'Compounding Calculator'!$C$31) / 4 + B6 * ('Compounding Calculator'!$C$31 / 4)</f>
        <v>41569.020697640626</v>
      </c>
      <c r="I7" s="7" t="s">
        <v>5</v>
      </c>
      <c r="J7" s="8" t="e">
        <f>#REF!-#REF!</f>
        <v>#REF!</v>
      </c>
    </row>
    <row r="8" spans="1:12" x14ac:dyDescent="0.35">
      <c r="A8" s="1" t="s">
        <v>13</v>
      </c>
      <c r="B8" s="63">
        <f xml:space="preserve"> B7 + C8</f>
        <v>272279.26276657369</v>
      </c>
      <c r="C8" s="63">
        <f>('Compounding Calculator'!$C$30 * 'Compounding Calculator'!$C$31) / 4 + B7 * ('Compounding Calculator'!$C$31 / 4)</f>
        <v>43023.936422058046</v>
      </c>
      <c r="I8" s="9" t="s">
        <v>1</v>
      </c>
      <c r="J8" s="10" t="e">
        <f>#REF!</f>
        <v>#REF!</v>
      </c>
    </row>
    <row r="9" spans="1:12" x14ac:dyDescent="0.35">
      <c r="A9" s="1" t="s">
        <v>14</v>
      </c>
      <c r="B9" s="63">
        <f xml:space="preserve"> B8 + C9</f>
        <v>316809.03696340381</v>
      </c>
      <c r="C9" s="63">
        <f>('Compounding Calculator'!$C$30 * 'Compounding Calculator'!$C$31) / 4 + B8 * ('Compounding Calculator'!$C$31 / 4)</f>
        <v>44529.774196830083</v>
      </c>
      <c r="I9" t="s">
        <v>51</v>
      </c>
      <c r="J9">
        <f>SUM('Compounding Calculator'!B9:B28,'Compounding Calculator'!D9:D28)</f>
        <v>47509537.468964227</v>
      </c>
    </row>
    <row r="10" spans="1:12" x14ac:dyDescent="0.35">
      <c r="A10" s="1" t="s">
        <v>15</v>
      </c>
      <c r="B10" s="63">
        <f xml:space="preserve"> B9 + C10</f>
        <v>362897.35325712292</v>
      </c>
      <c r="C10" s="63">
        <f>('Compounding Calculator'!$C$30 * 'Compounding Calculator'!$C$31) / 4 + B9 * ('Compounding Calculator'!$C$31 / 4)</f>
        <v>46088.316293719137</v>
      </c>
    </row>
    <row r="11" spans="1:12" x14ac:dyDescent="0.35">
      <c r="A11" s="1" t="s">
        <v>16</v>
      </c>
      <c r="B11" s="63">
        <f xml:space="preserve"> B10 + C11</f>
        <v>410598.7606211222</v>
      </c>
      <c r="C11" s="63">
        <f>('Compounding Calculator'!$C$30 * 'Compounding Calculator'!$C$31) / 4 + B10 * ('Compounding Calculator'!$C$31 / 4)</f>
        <v>47701.4073639993</v>
      </c>
    </row>
    <row r="12" spans="1:12" x14ac:dyDescent="0.35">
      <c r="A12" s="1" t="s">
        <v>17</v>
      </c>
      <c r="B12" s="63">
        <f xml:space="preserve"> B11 + C12</f>
        <v>459969.71724286146</v>
      </c>
      <c r="C12" s="63">
        <f>('Compounding Calculator'!$C$30 * 'Compounding Calculator'!$C$31) / 4 + B11 * ('Compounding Calculator'!$C$31 / 4)</f>
        <v>49370.956621739278</v>
      </c>
    </row>
    <row r="13" spans="1:12" x14ac:dyDescent="0.35">
      <c r="A13" s="1" t="s">
        <v>18</v>
      </c>
      <c r="B13" s="63">
        <f xml:space="preserve"> B12 + C13</f>
        <v>511068.65734636161</v>
      </c>
      <c r="C13" s="63">
        <f>('Compounding Calculator'!$C$30 * 'Compounding Calculator'!$C$31) / 4 + B12 * ('Compounding Calculator'!$C$31 / 4)</f>
        <v>51098.94010350015</v>
      </c>
    </row>
    <row r="14" spans="1:12" x14ac:dyDescent="0.35">
      <c r="A14" s="1" t="s">
        <v>19</v>
      </c>
      <c r="B14" s="63">
        <f xml:space="preserve"> B13 + C14</f>
        <v>563956.06035348424</v>
      </c>
      <c r="C14" s="63">
        <f>('Compounding Calculator'!$C$30 * 'Compounding Calculator'!$C$31) / 4 + B13 * ('Compounding Calculator'!$C$31 / 4)</f>
        <v>52887.403007122659</v>
      </c>
    </row>
    <row r="15" spans="1:12" x14ac:dyDescent="0.35">
      <c r="A15" s="1" t="s">
        <v>20</v>
      </c>
      <c r="B15" s="63">
        <f xml:space="preserve"> B14 + C15</f>
        <v>618694.52246585616</v>
      </c>
      <c r="C15" s="63">
        <f>('Compounding Calculator'!$C$30 * 'Compounding Calculator'!$C$31) / 4 + B14 * ('Compounding Calculator'!$C$31 / 4)</f>
        <v>54738.462112371955</v>
      </c>
    </row>
    <row r="16" spans="1:12" x14ac:dyDescent="0.35">
      <c r="A16" s="1" t="s">
        <v>21</v>
      </c>
      <c r="B16" s="63">
        <f xml:space="preserve"> B15 + C16</f>
        <v>675348.8307521611</v>
      </c>
      <c r="C16" s="63">
        <f>('Compounding Calculator'!$C$30 * 'Compounding Calculator'!$C$31) / 4 + B15 * ('Compounding Calculator'!$C$31 / 4)</f>
        <v>56654.308286304964</v>
      </c>
      <c r="G16" s="6"/>
    </row>
    <row r="17" spans="1:3" s="3" customFormat="1" x14ac:dyDescent="0.35">
      <c r="A17" s="1" t="s">
        <v>22</v>
      </c>
      <c r="B17" s="63">
        <f xml:space="preserve"> B16 + C17</f>
        <v>733986.03982848674</v>
      </c>
      <c r="C17" s="63">
        <f>('Compounding Calculator'!$C$30 * 'Compounding Calculator'!$C$31) / 4 + B16 * ('Compounding Calculator'!$C$31 / 4)</f>
        <v>58637.209076325642</v>
      </c>
    </row>
    <row r="18" spans="1:3" x14ac:dyDescent="0.35">
      <c r="A18" s="1" t="s">
        <v>23</v>
      </c>
      <c r="B18" s="63">
        <f xml:space="preserve"> B17 + C18</f>
        <v>794675.55122248374</v>
      </c>
      <c r="C18" s="63">
        <f>('Compounding Calculator'!$C$30 * 'Compounding Calculator'!$C$31) / 4 + B17 * ('Compounding Calculator'!$C$31 / 4)</f>
        <v>60689.51139399704</v>
      </c>
    </row>
    <row r="19" spans="1:3" x14ac:dyDescent="0.35">
      <c r="A19" s="1" t="s">
        <v>24</v>
      </c>
      <c r="B19" s="63">
        <f xml:space="preserve"> B18 + C19</f>
        <v>857489.19551527069</v>
      </c>
      <c r="C19" s="63">
        <f>('Compounding Calculator'!$C$30 * 'Compounding Calculator'!$C$31) / 4 + B18 * ('Compounding Calculator'!$C$31 / 4)</f>
        <v>62813.644292786936</v>
      </c>
    </row>
    <row r="20" spans="1:3" x14ac:dyDescent="0.35">
      <c r="A20" s="1" t="s">
        <v>25</v>
      </c>
      <c r="B20" s="63">
        <f xml:space="preserve"> B19 + C20</f>
        <v>922501.31735830521</v>
      </c>
      <c r="C20" s="63">
        <f>('Compounding Calculator'!$C$30 * 'Compounding Calculator'!$C$31) / 4 + B19 * ('Compounding Calculator'!$C$31 / 4)</f>
        <v>65012.121843034474</v>
      </c>
    </row>
    <row r="21" spans="1:3" x14ac:dyDescent="0.35">
      <c r="A21" s="1" t="s">
        <v>26</v>
      </c>
      <c r="B21" s="63">
        <f xml:space="preserve"> B20 + C21</f>
        <v>989788.86346584593</v>
      </c>
      <c r="C21" s="63">
        <f>('Compounding Calculator'!$C$30 * 'Compounding Calculator'!$C$31) / 4 + B20 * ('Compounding Calculator'!$C$31 / 4)</f>
        <v>67287.546107540693</v>
      </c>
    </row>
    <row r="22" spans="1:3" x14ac:dyDescent="0.35">
      <c r="A22" s="1" t="s">
        <v>27</v>
      </c>
      <c r="B22" s="63">
        <f xml:space="preserve"> B21 + C22</f>
        <v>1059431.4736871505</v>
      </c>
      <c r="C22" s="63">
        <f>('Compounding Calculator'!$C$30 * 'Compounding Calculator'!$C$31) / 4 + B21 * ('Compounding Calculator'!$C$31 / 4)</f>
        <v>69642.610221304611</v>
      </c>
    </row>
    <row r="23" spans="1:3" x14ac:dyDescent="0.35">
      <c r="A23" s="1" t="s">
        <v>28</v>
      </c>
      <c r="B23" s="63">
        <f xml:space="preserve"> B22 + C23</f>
        <v>1131511.5752662008</v>
      </c>
      <c r="C23" s="63">
        <f>('Compounding Calculator'!$C$30 * 'Compounding Calculator'!$C$31) / 4 + B22 * ('Compounding Calculator'!$C$31 / 4)</f>
        <v>72080.101579050272</v>
      </c>
    </row>
    <row r="24" spans="1:3" x14ac:dyDescent="0.35">
      <c r="A24" s="1" t="s">
        <v>29</v>
      </c>
      <c r="B24" s="63">
        <f xml:space="preserve"> B23 + C24</f>
        <v>1206114.4804005178</v>
      </c>
      <c r="C24" s="63">
        <f>('Compounding Calculator'!$C$30 * 'Compounding Calculator'!$C$31) / 4 + B23 * ('Compounding Calculator'!$C$31 / 4)</f>
        <v>74602.905134317029</v>
      </c>
    </row>
    <row r="25" spans="1:3" x14ac:dyDescent="0.35">
      <c r="A25" s="1" t="s">
        <v>30</v>
      </c>
      <c r="B25" s="63">
        <f xml:space="preserve"> B24 + C25</f>
        <v>1283328.4872145359</v>
      </c>
      <c r="C25" s="63">
        <f>('Compounding Calculator'!$C$30 * 'Compounding Calculator'!$C$31) / 4 + B24 * ('Compounding Calculator'!$C$31 / 4)</f>
        <v>77214.006814018125</v>
      </c>
    </row>
    <row r="26" spans="1:3" x14ac:dyDescent="0.35">
      <c r="A26" s="1" t="s">
        <v>31</v>
      </c>
      <c r="B26" s="63">
        <f xml:space="preserve"> B25 + C26</f>
        <v>1363244.9842670448</v>
      </c>
      <c r="C26" s="63">
        <f>('Compounding Calculator'!$C$30 * 'Compounding Calculator'!$C$31) / 4 + B25 * ('Compounding Calculator'!$C$31 / 4)</f>
        <v>79916.497052508756</v>
      </c>
    </row>
    <row r="27" spans="1:3" x14ac:dyDescent="0.35">
      <c r="A27" s="1" t="s">
        <v>32</v>
      </c>
      <c r="B27" s="63">
        <f xml:space="preserve"> B26 + C27</f>
        <v>1445958.5587163914</v>
      </c>
      <c r="C27" s="63">
        <f>('Compounding Calculator'!$C$30 * 'Compounding Calculator'!$C$31) / 4 + B26 * ('Compounding Calculator'!$C$31 / 4)</f>
        <v>82713.574449346575</v>
      </c>
    </row>
    <row r="28" spans="1:3" x14ac:dyDescent="0.35">
      <c r="A28" s="1" t="s">
        <v>33</v>
      </c>
      <c r="B28" s="63">
        <f xml:space="preserve"> B27 + C28</f>
        <v>1531567.1082714652</v>
      </c>
      <c r="C28" s="63">
        <f>('Compounding Calculator'!$C$30 * 'Compounding Calculator'!$C$31) / 4 + B27 * ('Compounding Calculator'!$C$31 / 4)</f>
        <v>85608.549555073696</v>
      </c>
    </row>
    <row r="29" spans="1:3" s="3" customFormat="1" x14ac:dyDescent="0.35">
      <c r="A29" s="1" t="s">
        <v>34</v>
      </c>
      <c r="B29" s="63">
        <f xml:space="preserve"> B28 + C29</f>
        <v>1620171.9570609664</v>
      </c>
      <c r="C29" s="63">
        <f>('Compounding Calculator'!$C$30 * 'Compounding Calculator'!$C$31) / 4 + B28 * ('Compounding Calculator'!$C$31 / 4)</f>
        <v>88604.848789501295</v>
      </c>
    </row>
    <row r="30" spans="1:3" x14ac:dyDescent="0.35">
      <c r="A30" s="1" t="s">
        <v>35</v>
      </c>
      <c r="B30" s="63">
        <f xml:space="preserve"> B29 + C30</f>
        <v>1711877.9755581003</v>
      </c>
      <c r="C30" s="63">
        <f>('Compounding Calculator'!$C$30 * 'Compounding Calculator'!$C$31) / 4 + B29 * ('Compounding Calculator'!$C$31 / 4)</f>
        <v>91706.018497133831</v>
      </c>
    </row>
    <row r="31" spans="1:3" x14ac:dyDescent="0.35">
      <c r="A31" s="1" t="s">
        <v>36</v>
      </c>
      <c r="B31" s="63">
        <f xml:space="preserve"> B30 + C31</f>
        <v>1806793.7047026339</v>
      </c>
      <c r="C31" s="63">
        <f>('Compounding Calculator'!$C$30 * 'Compounding Calculator'!$C$31) / 4 + B30 * ('Compounding Calculator'!$C$31 / 4)</f>
        <v>94915.729144533514</v>
      </c>
    </row>
    <row r="32" spans="1:3" x14ac:dyDescent="0.35">
      <c r="A32" s="1" t="s">
        <v>37</v>
      </c>
      <c r="B32" s="63">
        <f xml:space="preserve"> B31 + C32</f>
        <v>1905031.484367226</v>
      </c>
      <c r="C32" s="63">
        <f>('Compounding Calculator'!$C$30 * 'Compounding Calculator'!$C$31) / 4 + B31 * ('Compounding Calculator'!$C$31 / 4)</f>
        <v>98237.779664592192</v>
      </c>
    </row>
    <row r="33" spans="1:3" x14ac:dyDescent="0.35">
      <c r="A33" s="1" t="s">
        <v>38</v>
      </c>
      <c r="B33" s="63">
        <f xml:space="preserve"> B32 + C33</f>
        <v>2006707.5863200789</v>
      </c>
      <c r="C33" s="63">
        <f>('Compounding Calculator'!$C$30 * 'Compounding Calculator'!$C$31) / 4 + B32 * ('Compounding Calculator'!$C$31 / 4)</f>
        <v>101676.10195285291</v>
      </c>
    </row>
    <row r="34" spans="1:3" x14ac:dyDescent="0.35">
      <c r="A34" s="1" t="s">
        <v>39</v>
      </c>
      <c r="B34" s="63">
        <f xml:space="preserve"> B33 + C34</f>
        <v>2111942.3518412816</v>
      </c>
      <c r="C34" s="63">
        <f>('Compounding Calculator'!$C$30 * 'Compounding Calculator'!$C$31) / 4 + B33 * ('Compounding Calculator'!$C$31 / 4)</f>
        <v>105234.76552120277</v>
      </c>
    </row>
    <row r="35" spans="1:3" x14ac:dyDescent="0.35">
      <c r="A35" s="1" t="s">
        <v>40</v>
      </c>
      <c r="B35" s="63">
        <f xml:space="preserve"> B34 + C35</f>
        <v>2220860.3341557267</v>
      </c>
      <c r="C35" s="63">
        <f>('Compounding Calculator'!$C$30 * 'Compounding Calculator'!$C$31) / 4 + B34 * ('Compounding Calculator'!$C$31 / 4)</f>
        <v>108917.98231444486</v>
      </c>
    </row>
    <row r="36" spans="1:3" x14ac:dyDescent="0.35">
      <c r="A36" s="1" t="s">
        <v>41</v>
      </c>
      <c r="B36" s="63">
        <f xml:space="preserve"> B35 + C36</f>
        <v>2333590.445851177</v>
      </c>
      <c r="C36" s="63">
        <f>('Compounding Calculator'!$C$30 * 'Compounding Calculator'!$C$31) / 4 + B35 * ('Compounding Calculator'!$C$31 / 4)</f>
        <v>112730.11169545044</v>
      </c>
    </row>
    <row r="37" spans="1:3" x14ac:dyDescent="0.35">
      <c r="A37" s="1" t="s">
        <v>42</v>
      </c>
      <c r="B37" s="63">
        <f xml:space="preserve"> B36 + C37</f>
        <v>2450266.1114559681</v>
      </c>
      <c r="C37" s="63">
        <f>('Compounding Calculator'!$C$30 * 'Compounding Calculator'!$C$31) / 4 + B36 * ('Compounding Calculator'!$C$31 / 4)</f>
        <v>116675.6656047912</v>
      </c>
    </row>
    <row r="38" spans="1:3" x14ac:dyDescent="0.35">
      <c r="A38" s="1" t="s">
        <v>43</v>
      </c>
      <c r="B38" s="63">
        <f xml:space="preserve"> B37 + C38</f>
        <v>2571025.4253569269</v>
      </c>
      <c r="C38" s="63">
        <f>('Compounding Calculator'!$C$30 * 'Compounding Calculator'!$C$31) / 4 + B37 * ('Compounding Calculator'!$C$31 / 4)</f>
        <v>120759.31390095889</v>
      </c>
    </row>
    <row r="39" spans="1:3" x14ac:dyDescent="0.35">
      <c r="A39" s="1" t="s">
        <v>44</v>
      </c>
      <c r="B39" s="63">
        <f xml:space="preserve"> B38 + C39</f>
        <v>2696011.3152444195</v>
      </c>
      <c r="C39" s="63">
        <f>('Compounding Calculator'!$C$30 * 'Compounding Calculator'!$C$31) / 4 + B38 * ('Compounding Calculator'!$C$31 / 4)</f>
        <v>124985.88988749245</v>
      </c>
    </row>
    <row r="40" spans="1:3" x14ac:dyDescent="0.35">
      <c r="A40" s="1" t="s">
        <v>45</v>
      </c>
      <c r="B40" s="63">
        <f xml:space="preserve"> B39 + C40</f>
        <v>2825371.7112779743</v>
      </c>
      <c r="C40" s="63">
        <f>('Compounding Calculator'!$C$30 * 'Compounding Calculator'!$C$31) / 4 + B39 * ('Compounding Calculator'!$C$31 / 4)</f>
        <v>129360.39603355469</v>
      </c>
    </row>
    <row r="41" spans="1:3" x14ac:dyDescent="0.35">
      <c r="A41" s="1" t="s">
        <v>46</v>
      </c>
      <c r="B41" s="63">
        <f xml:space="preserve"> B40 + C41</f>
        <v>2959259.7211727034</v>
      </c>
      <c r="C41" s="63">
        <f>('Compounding Calculator'!$C$30 * 'Compounding Calculator'!$C$31) / 4 + B40 * ('Compounding Calculator'!$C$31 / 4)</f>
        <v>133888.00989472913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CFC3-4B2F-47B3-9860-19DEDCB1F980}">
  <dimension ref="A1:T34"/>
  <sheetViews>
    <sheetView showGridLines="0" tabSelected="1" workbookViewId="0">
      <selection activeCell="I36" sqref="I36"/>
    </sheetView>
  </sheetViews>
  <sheetFormatPr defaultRowHeight="14.5" x14ac:dyDescent="0.35"/>
  <cols>
    <col min="1" max="1" width="14.7265625" bestFit="1" customWidth="1"/>
    <col min="2" max="2" width="14.36328125" bestFit="1" customWidth="1"/>
    <col min="3" max="3" width="14.1796875" customWidth="1"/>
    <col min="4" max="4" width="9.90625" bestFit="1" customWidth="1"/>
    <col min="6" max="6" width="14.7265625" bestFit="1" customWidth="1"/>
    <col min="7" max="7" width="14.36328125" bestFit="1" customWidth="1"/>
    <col min="8" max="9" width="13" bestFit="1" customWidth="1"/>
    <col min="12" max="12" width="3.1796875" customWidth="1"/>
    <col min="13" max="13" width="8.7265625" hidden="1" customWidth="1"/>
    <col min="14" max="14" width="14.7265625" bestFit="1" customWidth="1"/>
    <col min="15" max="15" width="14.36328125" bestFit="1" customWidth="1"/>
    <col min="16" max="16" width="16.08984375" customWidth="1"/>
    <col min="17" max="17" width="14.36328125" bestFit="1" customWidth="1"/>
  </cols>
  <sheetData>
    <row r="1" spans="1:20" ht="14.5" customHeight="1" x14ac:dyDescent="0.35">
      <c r="A1" s="30" t="e" vm="1">
        <v>#VALUE!</v>
      </c>
      <c r="B1" s="31"/>
      <c r="C1" s="31"/>
      <c r="D1" s="31"/>
      <c r="E1" s="32"/>
      <c r="F1" s="39" t="s">
        <v>48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14.5" customHeight="1" x14ac:dyDescent="0.35">
      <c r="A2" s="33"/>
      <c r="B2" s="34"/>
      <c r="C2" s="34"/>
      <c r="D2" s="34"/>
      <c r="E2" s="35"/>
      <c r="F2" s="39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14.5" customHeight="1" x14ac:dyDescent="0.35">
      <c r="A3" s="33"/>
      <c r="B3" s="34"/>
      <c r="C3" s="34"/>
      <c r="D3" s="34"/>
      <c r="E3" s="35"/>
      <c r="F3" s="39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</row>
    <row r="4" spans="1:20" ht="14.5" customHeight="1" x14ac:dyDescent="0.35">
      <c r="A4" s="33"/>
      <c r="B4" s="34"/>
      <c r="C4" s="34"/>
      <c r="D4" s="34"/>
      <c r="E4" s="35"/>
      <c r="F4" s="39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ht="14.5" customHeight="1" x14ac:dyDescent="0.35">
      <c r="A5" s="33"/>
      <c r="B5" s="34"/>
      <c r="C5" s="34"/>
      <c r="D5" s="34"/>
      <c r="E5" s="35"/>
      <c r="F5" s="39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ht="15" customHeight="1" thickBot="1" x14ac:dyDescent="0.4">
      <c r="A6" s="36"/>
      <c r="B6" s="37"/>
      <c r="C6" s="37"/>
      <c r="D6" s="37"/>
      <c r="E6" s="38"/>
      <c r="F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15" thickBot="1" x14ac:dyDescent="0.4"/>
    <row r="8" spans="1:20" x14ac:dyDescent="0.35">
      <c r="A8" s="67" t="s">
        <v>47</v>
      </c>
      <c r="B8" s="68"/>
      <c r="C8" s="68"/>
      <c r="D8" s="69"/>
    </row>
    <row r="9" spans="1:20" x14ac:dyDescent="0.35">
      <c r="A9" s="11" t="s">
        <v>7</v>
      </c>
      <c r="B9" s="66">
        <f>Sheet2!B2</f>
        <v>35000</v>
      </c>
      <c r="C9" s="65" t="s">
        <v>27</v>
      </c>
      <c r="D9" s="12">
        <f>Sheet2!B22</f>
        <v>1059431.4736871505</v>
      </c>
    </row>
    <row r="10" spans="1:20" x14ac:dyDescent="0.35">
      <c r="A10" s="11" t="s">
        <v>8</v>
      </c>
      <c r="B10" s="66">
        <f>Sheet2!B3</f>
        <v>71225</v>
      </c>
      <c r="C10" s="65" t="s">
        <v>28</v>
      </c>
      <c r="D10" s="12">
        <f>Sheet2!B23</f>
        <v>1131511.5752662008</v>
      </c>
    </row>
    <row r="11" spans="1:20" x14ac:dyDescent="0.35">
      <c r="A11" s="11" t="s">
        <v>9</v>
      </c>
      <c r="B11" s="66">
        <f>Sheet2!B4</f>
        <v>108717.875</v>
      </c>
      <c r="C11" s="65" t="s">
        <v>29</v>
      </c>
      <c r="D11" s="12">
        <f>Sheet2!B24</f>
        <v>1206114.4804005178</v>
      </c>
    </row>
    <row r="12" spans="1:20" x14ac:dyDescent="0.35">
      <c r="A12" s="11" t="s">
        <v>10</v>
      </c>
      <c r="B12" s="66">
        <f>Sheet2!B5</f>
        <v>147523.00062499999</v>
      </c>
      <c r="C12" s="65" t="s">
        <v>30</v>
      </c>
      <c r="D12" s="12">
        <f>Sheet2!B25</f>
        <v>1283328.4872145359</v>
      </c>
    </row>
    <row r="13" spans="1:20" x14ac:dyDescent="0.35">
      <c r="A13" s="11" t="s">
        <v>11</v>
      </c>
      <c r="B13" s="66">
        <f>Sheet2!B6</f>
        <v>187686.305646875</v>
      </c>
      <c r="C13" s="65" t="s">
        <v>31</v>
      </c>
      <c r="D13" s="12">
        <f>Sheet2!B26</f>
        <v>1363244.9842670448</v>
      </c>
    </row>
    <row r="14" spans="1:20" x14ac:dyDescent="0.35">
      <c r="A14" s="11" t="s">
        <v>12</v>
      </c>
      <c r="B14" s="66">
        <f>Sheet2!B7</f>
        <v>229255.32634451563</v>
      </c>
      <c r="C14" s="65" t="s">
        <v>32</v>
      </c>
      <c r="D14" s="12">
        <f>Sheet2!B27</f>
        <v>1445958.5587163914</v>
      </c>
    </row>
    <row r="15" spans="1:20" x14ac:dyDescent="0.35">
      <c r="A15" s="11" t="s">
        <v>13</v>
      </c>
      <c r="B15" s="66">
        <f>Sheet2!B8</f>
        <v>272279.26276657369</v>
      </c>
      <c r="C15" s="65" t="s">
        <v>33</v>
      </c>
      <c r="D15" s="12">
        <f>Sheet2!B28</f>
        <v>1531567.1082714652</v>
      </c>
    </row>
    <row r="16" spans="1:20" x14ac:dyDescent="0.35">
      <c r="A16" s="11" t="s">
        <v>14</v>
      </c>
      <c r="B16" s="66">
        <f>Sheet2!B9</f>
        <v>316809.03696340381</v>
      </c>
      <c r="C16" s="65" t="s">
        <v>34</v>
      </c>
      <c r="D16" s="12">
        <f>Sheet2!B29</f>
        <v>1620171.9570609664</v>
      </c>
    </row>
    <row r="17" spans="1:20" x14ac:dyDescent="0.35">
      <c r="A17" s="11" t="s">
        <v>15</v>
      </c>
      <c r="B17" s="66">
        <f>Sheet2!B10</f>
        <v>362897.35325712292</v>
      </c>
      <c r="C17" s="65" t="s">
        <v>35</v>
      </c>
      <c r="D17" s="12">
        <f>Sheet2!B30</f>
        <v>1711877.9755581003</v>
      </c>
    </row>
    <row r="18" spans="1:20" x14ac:dyDescent="0.35">
      <c r="A18" s="11" t="s">
        <v>16</v>
      </c>
      <c r="B18" s="66">
        <f>Sheet2!B11</f>
        <v>410598.7606211222</v>
      </c>
      <c r="C18" s="65" t="s">
        <v>36</v>
      </c>
      <c r="D18" s="12">
        <f>Sheet2!B31</f>
        <v>1806793.7047026339</v>
      </c>
    </row>
    <row r="19" spans="1:20" x14ac:dyDescent="0.35">
      <c r="A19" s="11" t="s">
        <v>17</v>
      </c>
      <c r="B19" s="66">
        <f>Sheet2!B12</f>
        <v>459969.71724286146</v>
      </c>
      <c r="C19" s="65" t="s">
        <v>37</v>
      </c>
      <c r="D19" s="12">
        <f>Sheet2!B32</f>
        <v>1905031.484367226</v>
      </c>
    </row>
    <row r="20" spans="1:20" x14ac:dyDescent="0.35">
      <c r="A20" s="11" t="s">
        <v>18</v>
      </c>
      <c r="B20" s="66">
        <f>Sheet2!B13</f>
        <v>511068.65734636161</v>
      </c>
      <c r="C20" s="65" t="s">
        <v>38</v>
      </c>
      <c r="D20" s="12">
        <f>Sheet2!B33</f>
        <v>2006707.5863200789</v>
      </c>
    </row>
    <row r="21" spans="1:20" x14ac:dyDescent="0.35">
      <c r="A21" s="11" t="s">
        <v>19</v>
      </c>
      <c r="B21" s="66">
        <f>Sheet2!B14</f>
        <v>563956.06035348424</v>
      </c>
      <c r="C21" s="65" t="s">
        <v>39</v>
      </c>
      <c r="D21" s="12">
        <f>Sheet2!B34</f>
        <v>2111942.3518412816</v>
      </c>
    </row>
    <row r="22" spans="1:20" x14ac:dyDescent="0.35">
      <c r="A22" s="11" t="s">
        <v>20</v>
      </c>
      <c r="B22" s="66">
        <f>Sheet2!B15</f>
        <v>618694.52246585616</v>
      </c>
      <c r="C22" s="65" t="s">
        <v>40</v>
      </c>
      <c r="D22" s="12">
        <f>Sheet2!B35</f>
        <v>2220860.3341557267</v>
      </c>
    </row>
    <row r="23" spans="1:20" x14ac:dyDescent="0.35">
      <c r="A23" s="11" t="s">
        <v>21</v>
      </c>
      <c r="B23" s="66">
        <f>Sheet2!B16</f>
        <v>675348.8307521611</v>
      </c>
      <c r="C23" s="65" t="s">
        <v>41</v>
      </c>
      <c r="D23" s="12">
        <f>Sheet2!B36</f>
        <v>2333590.445851177</v>
      </c>
    </row>
    <row r="24" spans="1:20" x14ac:dyDescent="0.35">
      <c r="A24" s="11" t="s">
        <v>22</v>
      </c>
      <c r="B24" s="66">
        <f>Sheet2!B17</f>
        <v>733986.03982848674</v>
      </c>
      <c r="C24" s="65" t="s">
        <v>42</v>
      </c>
      <c r="D24" s="12">
        <f>Sheet2!B37</f>
        <v>2450266.1114559681</v>
      </c>
    </row>
    <row r="25" spans="1:20" x14ac:dyDescent="0.35">
      <c r="A25" s="11" t="s">
        <v>23</v>
      </c>
      <c r="B25" s="66">
        <f>Sheet2!B18</f>
        <v>794675.55122248374</v>
      </c>
      <c r="C25" s="65" t="s">
        <v>43</v>
      </c>
      <c r="D25" s="12">
        <f>Sheet2!B38</f>
        <v>2571025.4253569269</v>
      </c>
    </row>
    <row r="26" spans="1:20" x14ac:dyDescent="0.35">
      <c r="A26" s="11" t="s">
        <v>24</v>
      </c>
      <c r="B26" s="66">
        <f>Sheet2!B19</f>
        <v>857489.19551527069</v>
      </c>
      <c r="C26" s="65" t="s">
        <v>44</v>
      </c>
      <c r="D26" s="12">
        <f>Sheet2!B39</f>
        <v>2696011.3152444195</v>
      </c>
    </row>
    <row r="27" spans="1:20" x14ac:dyDescent="0.35">
      <c r="A27" s="11" t="s">
        <v>25</v>
      </c>
      <c r="B27" s="66">
        <f>Sheet2!B20</f>
        <v>922501.31735830521</v>
      </c>
      <c r="C27" s="65" t="s">
        <v>45</v>
      </c>
      <c r="D27" s="12">
        <f>Sheet2!B40</f>
        <v>2825371.7112779743</v>
      </c>
    </row>
    <row r="28" spans="1:20" ht="15" thickBot="1" x14ac:dyDescent="0.4">
      <c r="A28" s="13" t="s">
        <v>26</v>
      </c>
      <c r="B28" s="14">
        <f>Sheet2!B21</f>
        <v>989788.86346584593</v>
      </c>
      <c r="C28" s="15" t="s">
        <v>46</v>
      </c>
      <c r="D28" s="16">
        <f>Sheet2!B41</f>
        <v>2959259.7211727034</v>
      </c>
    </row>
    <row r="29" spans="1:20" ht="15" thickBot="1" x14ac:dyDescent="0.4"/>
    <row r="30" spans="1:20" ht="21" x14ac:dyDescent="0.5">
      <c r="A30" s="22" t="s">
        <v>0</v>
      </c>
      <c r="B30" s="23"/>
      <c r="C30" s="26">
        <v>1000000</v>
      </c>
      <c r="D30" s="27"/>
      <c r="F30" s="51" t="s">
        <v>52</v>
      </c>
      <c r="G30" s="52"/>
      <c r="H30" s="52"/>
      <c r="I30" s="55">
        <f>Q30-C30</f>
        <v>1959259.7211727034</v>
      </c>
      <c r="J30" s="56"/>
      <c r="K30" s="56"/>
      <c r="L30" s="57"/>
      <c r="M30" s="17"/>
      <c r="N30" s="41" t="s">
        <v>50</v>
      </c>
      <c r="O30" s="42"/>
      <c r="P30" s="42"/>
      <c r="Q30" s="45">
        <f>D28</f>
        <v>2959259.7211727034</v>
      </c>
      <c r="R30" s="46"/>
      <c r="S30" s="46"/>
      <c r="T30" s="47"/>
    </row>
    <row r="31" spans="1:20" ht="21.5" thickBot="1" x14ac:dyDescent="0.55000000000000004">
      <c r="A31" s="24" t="s">
        <v>49</v>
      </c>
      <c r="B31" s="25"/>
      <c r="C31" s="28">
        <v>0.14000000000000001</v>
      </c>
      <c r="D31" s="29"/>
      <c r="F31" s="53"/>
      <c r="G31" s="54"/>
      <c r="H31" s="54"/>
      <c r="I31" s="58"/>
      <c r="J31" s="59"/>
      <c r="K31" s="59"/>
      <c r="L31" s="60"/>
      <c r="M31" s="18"/>
      <c r="N31" s="43"/>
      <c r="O31" s="44"/>
      <c r="P31" s="44"/>
      <c r="Q31" s="48"/>
      <c r="R31" s="49"/>
      <c r="S31" s="49"/>
      <c r="T31" s="50"/>
    </row>
    <row r="32" spans="1:20" x14ac:dyDescent="0.35">
      <c r="F32" s="2"/>
    </row>
    <row r="33" spans="1:16" ht="16" x14ac:dyDescent="0.4">
      <c r="A33" s="19" t="s">
        <v>53</v>
      </c>
      <c r="B33" s="20"/>
      <c r="C33" s="20"/>
      <c r="D33" s="21"/>
    </row>
    <row r="34" spans="1:16" x14ac:dyDescent="0.35">
      <c r="G34" s="61"/>
      <c r="H34" s="62"/>
      <c r="I34" s="62"/>
      <c r="K34" s="2"/>
      <c r="N34" s="2"/>
      <c r="O34" s="2"/>
      <c r="P34" s="2"/>
    </row>
  </sheetData>
  <mergeCells count="12">
    <mergeCell ref="A8:D8"/>
    <mergeCell ref="A1:E6"/>
    <mergeCell ref="F1:T6"/>
    <mergeCell ref="N30:P31"/>
    <mergeCell ref="Q30:T31"/>
    <mergeCell ref="F30:H31"/>
    <mergeCell ref="I30:L31"/>
    <mergeCell ref="A33:D33"/>
    <mergeCell ref="A30:B30"/>
    <mergeCell ref="A31:B31"/>
    <mergeCell ref="C30:D30"/>
    <mergeCell ref="C31:D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Compounding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Oberabor</dc:creator>
  <cp:lastModifiedBy>Emmanuel Oberabor</cp:lastModifiedBy>
  <dcterms:created xsi:type="dcterms:W3CDTF">2025-04-07T21:06:32Z</dcterms:created>
  <dcterms:modified xsi:type="dcterms:W3CDTF">2025-04-11T12:26:09Z</dcterms:modified>
</cp:coreProperties>
</file>