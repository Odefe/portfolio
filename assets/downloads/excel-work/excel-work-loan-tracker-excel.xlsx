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6D39EED-D5E3-421B-B7DE-122223344AB9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Guide" sheetId="4" r:id="rId1"/>
    <sheet name="Loan Track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" l="1"/>
  <c r="F20" i="2"/>
  <c r="G20" i="2"/>
  <c r="H20" i="2"/>
  <c r="I20" i="2"/>
  <c r="E21" i="2"/>
  <c r="F21" i="2"/>
  <c r="G21" i="2"/>
  <c r="H21" i="2"/>
  <c r="I21" i="2"/>
  <c r="E22" i="2"/>
  <c r="F22" i="2"/>
  <c r="G22" i="2"/>
  <c r="H22" i="2"/>
  <c r="I22" i="2"/>
  <c r="E23" i="2"/>
  <c r="F23" i="2"/>
  <c r="G23" i="2"/>
  <c r="H23" i="2"/>
  <c r="I23" i="2"/>
  <c r="E24" i="2"/>
  <c r="F24" i="2"/>
  <c r="G24" i="2"/>
  <c r="H24" i="2"/>
  <c r="I24" i="2"/>
  <c r="E25" i="2"/>
  <c r="F25" i="2"/>
  <c r="G25" i="2"/>
  <c r="H25" i="2"/>
  <c r="I25" i="2"/>
  <c r="E26" i="2"/>
  <c r="F26" i="2"/>
  <c r="G26" i="2"/>
  <c r="H26" i="2"/>
  <c r="I26" i="2"/>
  <c r="E27" i="2"/>
  <c r="F27" i="2"/>
  <c r="G27" i="2"/>
  <c r="H27" i="2"/>
  <c r="I27" i="2"/>
  <c r="E28" i="2"/>
  <c r="F28" i="2"/>
  <c r="G28" i="2"/>
  <c r="H28" i="2"/>
  <c r="I28" i="2"/>
  <c r="E29" i="2"/>
  <c r="F29" i="2"/>
  <c r="G29" i="2"/>
  <c r="H29" i="2"/>
  <c r="I29" i="2"/>
  <c r="E30" i="2"/>
  <c r="F30" i="2"/>
  <c r="G30" i="2"/>
  <c r="H30" i="2"/>
  <c r="I30" i="2"/>
  <c r="E31" i="2"/>
  <c r="F31" i="2"/>
  <c r="G31" i="2"/>
  <c r="H31" i="2"/>
  <c r="I31" i="2"/>
  <c r="E32" i="2"/>
  <c r="F32" i="2"/>
  <c r="G32" i="2"/>
  <c r="H32" i="2"/>
  <c r="I32" i="2"/>
  <c r="E33" i="2"/>
  <c r="F33" i="2"/>
  <c r="G33" i="2"/>
  <c r="H33" i="2"/>
  <c r="I33" i="2"/>
  <c r="E34" i="2"/>
  <c r="F34" i="2"/>
  <c r="G34" i="2"/>
  <c r="H34" i="2"/>
  <c r="I34" i="2"/>
  <c r="E35" i="2"/>
  <c r="F35" i="2"/>
  <c r="G35" i="2"/>
  <c r="H35" i="2"/>
  <c r="I35" i="2"/>
  <c r="E36" i="2"/>
  <c r="F36" i="2"/>
  <c r="G36" i="2"/>
  <c r="H36" i="2"/>
  <c r="I36" i="2"/>
  <c r="E37" i="2"/>
  <c r="F37" i="2"/>
  <c r="G37" i="2"/>
  <c r="H37" i="2"/>
  <c r="I37" i="2"/>
  <c r="E38" i="2"/>
  <c r="F38" i="2"/>
  <c r="G38" i="2"/>
  <c r="H38" i="2"/>
  <c r="I38" i="2"/>
  <c r="E39" i="2"/>
  <c r="F39" i="2"/>
  <c r="G39" i="2"/>
  <c r="H39" i="2"/>
  <c r="I39" i="2"/>
  <c r="E40" i="2"/>
  <c r="F40" i="2"/>
  <c r="G40" i="2"/>
  <c r="H40" i="2"/>
  <c r="I40" i="2"/>
  <c r="E41" i="2"/>
  <c r="F41" i="2"/>
  <c r="G41" i="2"/>
  <c r="H41" i="2"/>
  <c r="I41" i="2"/>
  <c r="E42" i="2"/>
  <c r="F42" i="2"/>
  <c r="G42" i="2"/>
  <c r="H42" i="2"/>
  <c r="I42" i="2"/>
  <c r="E43" i="2"/>
  <c r="F43" i="2"/>
  <c r="G43" i="2"/>
  <c r="H43" i="2"/>
  <c r="I43" i="2"/>
  <c r="E44" i="2"/>
  <c r="F44" i="2"/>
  <c r="G44" i="2"/>
  <c r="H44" i="2"/>
  <c r="I44" i="2"/>
  <c r="E45" i="2"/>
  <c r="F45" i="2"/>
  <c r="G45" i="2"/>
  <c r="H45" i="2"/>
  <c r="I45" i="2"/>
  <c r="E46" i="2"/>
  <c r="F46" i="2"/>
  <c r="G46" i="2"/>
  <c r="H46" i="2"/>
  <c r="I46" i="2"/>
  <c r="E47" i="2"/>
  <c r="F47" i="2"/>
  <c r="G47" i="2"/>
  <c r="H47" i="2"/>
  <c r="I47" i="2"/>
  <c r="E48" i="2"/>
  <c r="F48" i="2"/>
  <c r="G48" i="2"/>
  <c r="H48" i="2"/>
  <c r="I48" i="2"/>
  <c r="E49" i="2"/>
  <c r="F49" i="2"/>
  <c r="G49" i="2"/>
  <c r="H49" i="2"/>
  <c r="I49" i="2"/>
  <c r="E50" i="2"/>
  <c r="F50" i="2"/>
  <c r="G50" i="2"/>
  <c r="H50" i="2"/>
  <c r="I50" i="2"/>
  <c r="E51" i="2"/>
  <c r="F51" i="2"/>
  <c r="G51" i="2"/>
  <c r="H51" i="2"/>
  <c r="I51" i="2"/>
  <c r="E52" i="2"/>
  <c r="F52" i="2"/>
  <c r="G52" i="2"/>
  <c r="H52" i="2"/>
  <c r="I52" i="2"/>
  <c r="E53" i="2"/>
  <c r="F53" i="2"/>
  <c r="G53" i="2"/>
  <c r="H53" i="2"/>
  <c r="I53" i="2"/>
  <c r="E54" i="2"/>
  <c r="F54" i="2"/>
  <c r="G54" i="2"/>
  <c r="H54" i="2"/>
  <c r="I54" i="2"/>
  <c r="E55" i="2"/>
  <c r="F55" i="2"/>
  <c r="G55" i="2"/>
  <c r="H55" i="2"/>
  <c r="I55" i="2"/>
  <c r="E56" i="2"/>
  <c r="F56" i="2"/>
  <c r="G56" i="2"/>
  <c r="H56" i="2"/>
  <c r="I56" i="2"/>
  <c r="E57" i="2"/>
  <c r="F57" i="2"/>
  <c r="G57" i="2"/>
  <c r="H57" i="2"/>
  <c r="I57" i="2"/>
  <c r="E58" i="2"/>
  <c r="F58" i="2"/>
  <c r="G58" i="2"/>
  <c r="H58" i="2"/>
  <c r="I58" i="2"/>
  <c r="E59" i="2"/>
  <c r="F59" i="2"/>
  <c r="G59" i="2"/>
  <c r="H59" i="2"/>
  <c r="I59" i="2"/>
  <c r="E60" i="2"/>
  <c r="F60" i="2"/>
  <c r="G60" i="2"/>
  <c r="H60" i="2"/>
  <c r="I60" i="2"/>
  <c r="E61" i="2"/>
  <c r="F61" i="2"/>
  <c r="G61" i="2"/>
  <c r="H61" i="2"/>
  <c r="I61" i="2"/>
  <c r="E62" i="2"/>
  <c r="F62" i="2"/>
  <c r="G62" i="2"/>
  <c r="H62" i="2"/>
  <c r="I62" i="2"/>
  <c r="E63" i="2"/>
  <c r="F63" i="2"/>
  <c r="G63" i="2"/>
  <c r="H63" i="2"/>
  <c r="I63" i="2"/>
  <c r="E64" i="2"/>
  <c r="F64" i="2"/>
  <c r="G64" i="2"/>
  <c r="H64" i="2"/>
  <c r="I64" i="2"/>
  <c r="E65" i="2"/>
  <c r="F65" i="2"/>
  <c r="G65" i="2"/>
  <c r="H65" i="2"/>
  <c r="I65" i="2"/>
  <c r="E66" i="2"/>
  <c r="F66" i="2"/>
  <c r="G66" i="2"/>
  <c r="H66" i="2"/>
  <c r="I66" i="2"/>
  <c r="E67" i="2"/>
  <c r="F67" i="2"/>
  <c r="G67" i="2"/>
  <c r="H67" i="2"/>
  <c r="I67" i="2"/>
  <c r="E68" i="2"/>
  <c r="F68" i="2"/>
  <c r="G68" i="2"/>
  <c r="H68" i="2"/>
  <c r="I68" i="2"/>
  <c r="E69" i="2"/>
  <c r="F69" i="2"/>
  <c r="G69" i="2"/>
  <c r="H69" i="2"/>
  <c r="I69" i="2"/>
  <c r="E70" i="2"/>
  <c r="F70" i="2"/>
  <c r="G70" i="2"/>
  <c r="H70" i="2"/>
  <c r="I70" i="2"/>
  <c r="E71" i="2"/>
  <c r="F71" i="2"/>
  <c r="G71" i="2"/>
  <c r="H71" i="2"/>
  <c r="I71" i="2"/>
  <c r="E72" i="2"/>
  <c r="F72" i="2"/>
  <c r="G72" i="2"/>
  <c r="H72" i="2"/>
  <c r="I72" i="2"/>
  <c r="E73" i="2"/>
  <c r="F73" i="2"/>
  <c r="G73" i="2"/>
  <c r="H73" i="2"/>
  <c r="I73" i="2"/>
  <c r="E74" i="2"/>
  <c r="F74" i="2"/>
  <c r="G74" i="2"/>
  <c r="H74" i="2"/>
  <c r="I74" i="2"/>
  <c r="E75" i="2"/>
  <c r="F75" i="2"/>
  <c r="G75" i="2"/>
  <c r="H75" i="2"/>
  <c r="I75" i="2"/>
  <c r="E76" i="2"/>
  <c r="F76" i="2"/>
  <c r="G76" i="2"/>
  <c r="H76" i="2"/>
  <c r="I76" i="2"/>
  <c r="E77" i="2"/>
  <c r="F77" i="2"/>
  <c r="G77" i="2"/>
  <c r="H77" i="2"/>
  <c r="I77" i="2"/>
  <c r="E78" i="2"/>
  <c r="F78" i="2"/>
  <c r="G78" i="2"/>
  <c r="H78" i="2"/>
  <c r="I78" i="2"/>
  <c r="E79" i="2"/>
  <c r="F79" i="2"/>
  <c r="G79" i="2"/>
  <c r="H79" i="2"/>
  <c r="I79" i="2"/>
  <c r="E80" i="2"/>
  <c r="F80" i="2"/>
  <c r="G80" i="2"/>
  <c r="H80" i="2"/>
  <c r="I80" i="2"/>
  <c r="E81" i="2"/>
  <c r="F81" i="2"/>
  <c r="G81" i="2"/>
  <c r="H81" i="2"/>
  <c r="I81" i="2"/>
  <c r="E82" i="2"/>
  <c r="F82" i="2"/>
  <c r="G82" i="2"/>
  <c r="H82" i="2"/>
  <c r="I82" i="2"/>
  <c r="E83" i="2"/>
  <c r="F83" i="2"/>
  <c r="G83" i="2"/>
  <c r="H83" i="2"/>
  <c r="I83" i="2"/>
  <c r="E84" i="2"/>
  <c r="F84" i="2"/>
  <c r="G84" i="2"/>
  <c r="H84" i="2"/>
  <c r="I84" i="2"/>
  <c r="E85" i="2"/>
  <c r="F85" i="2"/>
  <c r="G85" i="2"/>
  <c r="H85" i="2"/>
  <c r="I85" i="2"/>
  <c r="E86" i="2"/>
  <c r="F86" i="2"/>
  <c r="G86" i="2"/>
  <c r="H86" i="2"/>
  <c r="I86" i="2"/>
  <c r="E87" i="2"/>
  <c r="F87" i="2"/>
  <c r="G87" i="2"/>
  <c r="H87" i="2"/>
  <c r="I87" i="2"/>
  <c r="E88" i="2"/>
  <c r="F88" i="2"/>
  <c r="G88" i="2"/>
  <c r="H88" i="2"/>
  <c r="I88" i="2"/>
  <c r="E89" i="2"/>
  <c r="F89" i="2"/>
  <c r="G89" i="2"/>
  <c r="H89" i="2"/>
  <c r="I89" i="2"/>
  <c r="E90" i="2"/>
  <c r="F90" i="2"/>
  <c r="G90" i="2"/>
  <c r="H90" i="2"/>
  <c r="I90" i="2"/>
  <c r="E91" i="2"/>
  <c r="F91" i="2"/>
  <c r="G91" i="2"/>
  <c r="H91" i="2"/>
  <c r="I91" i="2"/>
  <c r="E92" i="2"/>
  <c r="F92" i="2"/>
  <c r="G92" i="2"/>
  <c r="H92" i="2"/>
  <c r="I92" i="2"/>
  <c r="E93" i="2"/>
  <c r="F93" i="2"/>
  <c r="G93" i="2"/>
  <c r="H93" i="2"/>
  <c r="I93" i="2"/>
  <c r="E94" i="2"/>
  <c r="F94" i="2"/>
  <c r="G94" i="2"/>
  <c r="H94" i="2"/>
  <c r="I94" i="2"/>
  <c r="E95" i="2"/>
  <c r="F95" i="2"/>
  <c r="G95" i="2"/>
  <c r="H95" i="2"/>
  <c r="I95" i="2"/>
  <c r="E96" i="2"/>
  <c r="F96" i="2"/>
  <c r="G96" i="2"/>
  <c r="H96" i="2"/>
  <c r="I96" i="2"/>
  <c r="E97" i="2"/>
  <c r="F97" i="2"/>
  <c r="G97" i="2"/>
  <c r="H97" i="2"/>
  <c r="I97" i="2"/>
  <c r="E98" i="2"/>
  <c r="F98" i="2"/>
  <c r="G98" i="2"/>
  <c r="H98" i="2"/>
  <c r="I98" i="2"/>
  <c r="E99" i="2"/>
  <c r="F99" i="2"/>
  <c r="G99" i="2"/>
  <c r="H99" i="2"/>
  <c r="I99" i="2"/>
  <c r="E100" i="2"/>
  <c r="F100" i="2"/>
  <c r="G100" i="2"/>
  <c r="H100" i="2"/>
  <c r="I100" i="2"/>
  <c r="E101" i="2"/>
  <c r="F101" i="2"/>
  <c r="G101" i="2"/>
  <c r="H101" i="2"/>
  <c r="I101" i="2"/>
  <c r="E102" i="2"/>
  <c r="F102" i="2"/>
  <c r="G102" i="2"/>
  <c r="H102" i="2"/>
  <c r="I102" i="2"/>
  <c r="E103" i="2"/>
  <c r="F103" i="2"/>
  <c r="G103" i="2"/>
  <c r="H103" i="2"/>
  <c r="I103" i="2"/>
  <c r="E104" i="2"/>
  <c r="F104" i="2"/>
  <c r="G104" i="2"/>
  <c r="H104" i="2"/>
  <c r="I104" i="2"/>
  <c r="E105" i="2"/>
  <c r="F105" i="2"/>
  <c r="G105" i="2"/>
  <c r="H105" i="2"/>
  <c r="I105" i="2"/>
  <c r="E106" i="2"/>
  <c r="F106" i="2"/>
  <c r="G106" i="2"/>
  <c r="H106" i="2"/>
  <c r="I106" i="2"/>
  <c r="E107" i="2"/>
  <c r="F107" i="2"/>
  <c r="G107" i="2"/>
  <c r="H107" i="2"/>
  <c r="I107" i="2"/>
  <c r="E108" i="2"/>
  <c r="F108" i="2"/>
  <c r="G108" i="2"/>
  <c r="H108" i="2"/>
  <c r="I108" i="2"/>
  <c r="E109" i="2"/>
  <c r="F109" i="2"/>
  <c r="G109" i="2"/>
  <c r="H109" i="2"/>
  <c r="I109" i="2"/>
  <c r="E110" i="2"/>
  <c r="F110" i="2"/>
  <c r="G110" i="2"/>
  <c r="H110" i="2"/>
  <c r="I110" i="2"/>
  <c r="E111" i="2"/>
  <c r="F111" i="2"/>
  <c r="G111" i="2"/>
  <c r="H111" i="2"/>
  <c r="I111" i="2"/>
  <c r="E112" i="2"/>
  <c r="F112" i="2"/>
  <c r="G112" i="2"/>
  <c r="H112" i="2"/>
  <c r="I112" i="2"/>
  <c r="E113" i="2"/>
  <c r="F113" i="2"/>
  <c r="G113" i="2"/>
  <c r="H113" i="2"/>
  <c r="I113" i="2"/>
  <c r="E114" i="2"/>
  <c r="F114" i="2"/>
  <c r="G114" i="2"/>
  <c r="H114" i="2"/>
  <c r="I114" i="2"/>
  <c r="E115" i="2"/>
  <c r="F115" i="2"/>
  <c r="G115" i="2"/>
  <c r="H115" i="2"/>
  <c r="I115" i="2"/>
  <c r="E116" i="2"/>
  <c r="F116" i="2"/>
  <c r="G116" i="2"/>
  <c r="H116" i="2"/>
  <c r="I116" i="2"/>
  <c r="E117" i="2"/>
  <c r="F117" i="2"/>
  <c r="G117" i="2"/>
  <c r="H117" i="2"/>
  <c r="I117" i="2"/>
  <c r="E118" i="2"/>
  <c r="F118" i="2"/>
  <c r="G118" i="2"/>
  <c r="H118" i="2"/>
  <c r="I118" i="2"/>
  <c r="E119" i="2"/>
  <c r="F119" i="2"/>
  <c r="G119" i="2"/>
  <c r="H119" i="2"/>
  <c r="I119" i="2"/>
  <c r="E120" i="2"/>
  <c r="F120" i="2"/>
  <c r="G120" i="2"/>
  <c r="H120" i="2"/>
  <c r="I120" i="2"/>
  <c r="E121" i="2"/>
  <c r="F121" i="2"/>
  <c r="G121" i="2"/>
  <c r="H121" i="2"/>
  <c r="I121" i="2"/>
  <c r="E122" i="2"/>
  <c r="F122" i="2"/>
  <c r="G122" i="2"/>
  <c r="H122" i="2"/>
  <c r="I122" i="2"/>
  <c r="E123" i="2"/>
  <c r="F123" i="2"/>
  <c r="G123" i="2"/>
  <c r="H123" i="2"/>
  <c r="I123" i="2"/>
  <c r="E124" i="2"/>
  <c r="F124" i="2"/>
  <c r="G124" i="2"/>
  <c r="H124" i="2"/>
  <c r="I124" i="2"/>
  <c r="E125" i="2"/>
  <c r="F125" i="2"/>
  <c r="G125" i="2"/>
  <c r="H125" i="2"/>
  <c r="I125" i="2"/>
  <c r="E126" i="2"/>
  <c r="F126" i="2"/>
  <c r="G126" i="2"/>
  <c r="H126" i="2"/>
  <c r="I126" i="2"/>
  <c r="E127" i="2"/>
  <c r="F127" i="2"/>
  <c r="G127" i="2"/>
  <c r="H127" i="2"/>
  <c r="I127" i="2"/>
  <c r="E128" i="2"/>
  <c r="F128" i="2"/>
  <c r="G128" i="2"/>
  <c r="H128" i="2"/>
  <c r="I128" i="2"/>
  <c r="E129" i="2"/>
  <c r="F129" i="2"/>
  <c r="G129" i="2"/>
  <c r="H129" i="2"/>
  <c r="I129" i="2"/>
  <c r="E130" i="2"/>
  <c r="F130" i="2"/>
  <c r="G130" i="2"/>
  <c r="H130" i="2"/>
  <c r="I130" i="2"/>
  <c r="E131" i="2"/>
  <c r="F131" i="2"/>
  <c r="G131" i="2"/>
  <c r="H131" i="2"/>
  <c r="I131" i="2"/>
  <c r="E132" i="2"/>
  <c r="F132" i="2"/>
  <c r="G132" i="2"/>
  <c r="H132" i="2"/>
  <c r="I132" i="2"/>
  <c r="E133" i="2"/>
  <c r="F133" i="2"/>
  <c r="G133" i="2"/>
  <c r="H133" i="2"/>
  <c r="I133" i="2"/>
  <c r="E134" i="2"/>
  <c r="F134" i="2"/>
  <c r="G134" i="2"/>
  <c r="H134" i="2"/>
  <c r="I134" i="2"/>
  <c r="E135" i="2"/>
  <c r="F135" i="2"/>
  <c r="G135" i="2"/>
  <c r="H135" i="2"/>
  <c r="I135" i="2"/>
  <c r="E136" i="2"/>
  <c r="F136" i="2"/>
  <c r="G136" i="2"/>
  <c r="H136" i="2"/>
  <c r="I136" i="2"/>
  <c r="E137" i="2"/>
  <c r="F137" i="2"/>
  <c r="G137" i="2"/>
  <c r="H137" i="2"/>
  <c r="I137" i="2"/>
  <c r="E138" i="2"/>
  <c r="F138" i="2"/>
  <c r="G138" i="2"/>
  <c r="H138" i="2"/>
  <c r="I138" i="2"/>
  <c r="E139" i="2"/>
  <c r="F139" i="2"/>
  <c r="G139" i="2"/>
  <c r="H139" i="2"/>
  <c r="I139" i="2"/>
  <c r="E140" i="2"/>
  <c r="F140" i="2"/>
  <c r="G140" i="2"/>
  <c r="H140" i="2"/>
  <c r="I140" i="2"/>
  <c r="E141" i="2"/>
  <c r="F141" i="2"/>
  <c r="G141" i="2"/>
  <c r="H141" i="2"/>
  <c r="I141" i="2"/>
  <c r="E142" i="2"/>
  <c r="F142" i="2"/>
  <c r="G142" i="2"/>
  <c r="H142" i="2"/>
  <c r="I142" i="2"/>
  <c r="E143" i="2"/>
  <c r="F143" i="2"/>
  <c r="G143" i="2"/>
  <c r="H143" i="2"/>
  <c r="I143" i="2"/>
  <c r="E144" i="2"/>
  <c r="F144" i="2"/>
  <c r="G144" i="2"/>
  <c r="H144" i="2"/>
  <c r="I144" i="2"/>
  <c r="E145" i="2"/>
  <c r="F145" i="2"/>
  <c r="G145" i="2"/>
  <c r="H145" i="2"/>
  <c r="I145" i="2"/>
  <c r="E146" i="2"/>
  <c r="F146" i="2"/>
  <c r="G146" i="2"/>
  <c r="H146" i="2"/>
  <c r="I146" i="2"/>
  <c r="E147" i="2"/>
  <c r="F147" i="2"/>
  <c r="G147" i="2"/>
  <c r="H147" i="2"/>
  <c r="I147" i="2"/>
  <c r="E148" i="2"/>
  <c r="F148" i="2"/>
  <c r="G148" i="2"/>
  <c r="H148" i="2"/>
  <c r="I148" i="2"/>
  <c r="E149" i="2"/>
  <c r="F149" i="2"/>
  <c r="G149" i="2"/>
  <c r="H149" i="2"/>
  <c r="I149" i="2"/>
  <c r="E150" i="2"/>
  <c r="F150" i="2"/>
  <c r="G150" i="2"/>
  <c r="H150" i="2"/>
  <c r="I150" i="2"/>
  <c r="E151" i="2"/>
  <c r="F151" i="2"/>
  <c r="G151" i="2"/>
  <c r="H151" i="2"/>
  <c r="I151" i="2"/>
  <c r="E152" i="2"/>
  <c r="F152" i="2"/>
  <c r="G152" i="2"/>
  <c r="H152" i="2"/>
  <c r="I152" i="2"/>
  <c r="E153" i="2"/>
  <c r="F153" i="2"/>
  <c r="G153" i="2"/>
  <c r="H153" i="2"/>
  <c r="I153" i="2"/>
  <c r="E154" i="2"/>
  <c r="F154" i="2"/>
  <c r="G154" i="2"/>
  <c r="H154" i="2"/>
  <c r="I154" i="2"/>
  <c r="E155" i="2"/>
  <c r="F155" i="2"/>
  <c r="G155" i="2"/>
  <c r="H155" i="2"/>
  <c r="I155" i="2"/>
  <c r="E156" i="2"/>
  <c r="F156" i="2"/>
  <c r="G156" i="2"/>
  <c r="H156" i="2"/>
  <c r="I156" i="2"/>
  <c r="E157" i="2"/>
  <c r="F157" i="2"/>
  <c r="G157" i="2"/>
  <c r="H157" i="2"/>
  <c r="I157" i="2"/>
  <c r="E158" i="2"/>
  <c r="F158" i="2"/>
  <c r="G158" i="2"/>
  <c r="H158" i="2"/>
  <c r="I158" i="2"/>
  <c r="E159" i="2"/>
  <c r="F159" i="2"/>
  <c r="G159" i="2"/>
  <c r="H159" i="2"/>
  <c r="I159" i="2"/>
  <c r="E160" i="2"/>
  <c r="F160" i="2"/>
  <c r="G160" i="2"/>
  <c r="H160" i="2"/>
  <c r="I160" i="2"/>
  <c r="E161" i="2"/>
  <c r="F161" i="2"/>
  <c r="G161" i="2"/>
  <c r="H161" i="2"/>
  <c r="I161" i="2"/>
  <c r="E162" i="2"/>
  <c r="F162" i="2"/>
  <c r="G162" i="2"/>
  <c r="H162" i="2"/>
  <c r="I162" i="2"/>
  <c r="E163" i="2"/>
  <c r="F163" i="2"/>
  <c r="G163" i="2"/>
  <c r="H163" i="2"/>
  <c r="I163" i="2"/>
  <c r="E164" i="2"/>
  <c r="F164" i="2"/>
  <c r="G164" i="2"/>
  <c r="H164" i="2"/>
  <c r="I164" i="2"/>
  <c r="E165" i="2"/>
  <c r="F165" i="2"/>
  <c r="G165" i="2"/>
  <c r="H165" i="2"/>
  <c r="I165" i="2"/>
  <c r="E166" i="2"/>
  <c r="F166" i="2"/>
  <c r="G166" i="2"/>
  <c r="H166" i="2"/>
  <c r="I166" i="2"/>
  <c r="E167" i="2"/>
  <c r="F167" i="2"/>
  <c r="G167" i="2"/>
  <c r="H167" i="2"/>
  <c r="I167" i="2"/>
  <c r="E168" i="2"/>
  <c r="F168" i="2"/>
  <c r="G168" i="2"/>
  <c r="H168" i="2"/>
  <c r="I168" i="2"/>
  <c r="E169" i="2"/>
  <c r="F169" i="2"/>
  <c r="G169" i="2"/>
  <c r="H169" i="2"/>
  <c r="I169" i="2"/>
  <c r="E170" i="2"/>
  <c r="F170" i="2"/>
  <c r="G170" i="2"/>
  <c r="H170" i="2"/>
  <c r="I170" i="2"/>
  <c r="E171" i="2"/>
  <c r="F171" i="2"/>
  <c r="G171" i="2"/>
  <c r="H171" i="2"/>
  <c r="I171" i="2"/>
  <c r="E172" i="2"/>
  <c r="F172" i="2"/>
  <c r="G172" i="2"/>
  <c r="H172" i="2"/>
  <c r="I172" i="2"/>
  <c r="E173" i="2"/>
  <c r="F173" i="2"/>
  <c r="G173" i="2"/>
  <c r="H173" i="2"/>
  <c r="I173" i="2"/>
  <c r="E174" i="2"/>
  <c r="F174" i="2"/>
  <c r="G174" i="2"/>
  <c r="H174" i="2"/>
  <c r="I174" i="2"/>
  <c r="E175" i="2"/>
  <c r="F175" i="2"/>
  <c r="G175" i="2"/>
  <c r="H175" i="2"/>
  <c r="I175" i="2"/>
  <c r="E176" i="2"/>
  <c r="F176" i="2"/>
  <c r="G176" i="2"/>
  <c r="H176" i="2"/>
  <c r="I176" i="2"/>
  <c r="E177" i="2"/>
  <c r="F177" i="2"/>
  <c r="G177" i="2"/>
  <c r="H177" i="2"/>
  <c r="I177" i="2"/>
  <c r="E178" i="2"/>
  <c r="F178" i="2"/>
  <c r="G178" i="2"/>
  <c r="H178" i="2"/>
  <c r="I178" i="2"/>
  <c r="E179" i="2"/>
  <c r="F179" i="2"/>
  <c r="G179" i="2"/>
  <c r="H179" i="2"/>
  <c r="I179" i="2"/>
  <c r="E180" i="2"/>
  <c r="F180" i="2"/>
  <c r="G180" i="2"/>
  <c r="H180" i="2"/>
  <c r="I180" i="2"/>
  <c r="E181" i="2"/>
  <c r="F181" i="2"/>
  <c r="G181" i="2"/>
  <c r="H181" i="2"/>
  <c r="I181" i="2"/>
  <c r="E182" i="2"/>
  <c r="F182" i="2"/>
  <c r="G182" i="2"/>
  <c r="H182" i="2"/>
  <c r="I182" i="2"/>
  <c r="E183" i="2"/>
  <c r="F183" i="2"/>
  <c r="G183" i="2"/>
  <c r="H183" i="2"/>
  <c r="I183" i="2"/>
  <c r="E184" i="2"/>
  <c r="F184" i="2"/>
  <c r="G184" i="2"/>
  <c r="H184" i="2"/>
  <c r="I184" i="2"/>
  <c r="E185" i="2"/>
  <c r="F185" i="2"/>
  <c r="G185" i="2"/>
  <c r="H185" i="2"/>
  <c r="I185" i="2"/>
  <c r="E186" i="2"/>
  <c r="F186" i="2"/>
  <c r="G186" i="2"/>
  <c r="H186" i="2"/>
  <c r="I186" i="2"/>
  <c r="E187" i="2"/>
  <c r="F187" i="2"/>
  <c r="G187" i="2"/>
  <c r="H187" i="2"/>
  <c r="I187" i="2"/>
  <c r="E188" i="2"/>
  <c r="F188" i="2"/>
  <c r="G188" i="2"/>
  <c r="H188" i="2"/>
  <c r="I188" i="2"/>
  <c r="E189" i="2"/>
  <c r="F189" i="2"/>
  <c r="G189" i="2"/>
  <c r="H189" i="2"/>
  <c r="I189" i="2"/>
  <c r="E190" i="2"/>
  <c r="F190" i="2"/>
  <c r="G190" i="2"/>
  <c r="H190" i="2"/>
  <c r="I190" i="2"/>
  <c r="E191" i="2"/>
  <c r="F191" i="2"/>
  <c r="G191" i="2"/>
  <c r="H191" i="2"/>
  <c r="I191" i="2"/>
  <c r="E192" i="2"/>
  <c r="F192" i="2"/>
  <c r="G192" i="2"/>
  <c r="H192" i="2"/>
  <c r="I192" i="2"/>
  <c r="E193" i="2"/>
  <c r="F193" i="2"/>
  <c r="G193" i="2"/>
  <c r="H193" i="2"/>
  <c r="I193" i="2"/>
  <c r="E194" i="2"/>
  <c r="F194" i="2"/>
  <c r="G194" i="2"/>
  <c r="H194" i="2"/>
  <c r="I194" i="2"/>
  <c r="E195" i="2"/>
  <c r="F195" i="2"/>
  <c r="G195" i="2"/>
  <c r="H195" i="2"/>
  <c r="I195" i="2"/>
  <c r="E196" i="2"/>
  <c r="F196" i="2"/>
  <c r="G196" i="2"/>
  <c r="H196" i="2"/>
  <c r="I196" i="2"/>
  <c r="E197" i="2"/>
  <c r="F197" i="2"/>
  <c r="G197" i="2"/>
  <c r="H197" i="2"/>
  <c r="I197" i="2"/>
  <c r="E198" i="2"/>
  <c r="F198" i="2"/>
  <c r="G198" i="2"/>
  <c r="H198" i="2"/>
  <c r="I198" i="2"/>
  <c r="E199" i="2"/>
  <c r="F199" i="2"/>
  <c r="G199" i="2"/>
  <c r="H199" i="2"/>
  <c r="I199" i="2"/>
  <c r="E200" i="2"/>
  <c r="F200" i="2"/>
  <c r="G200" i="2"/>
  <c r="H200" i="2"/>
  <c r="I200" i="2"/>
  <c r="E201" i="2"/>
  <c r="F201" i="2"/>
  <c r="G201" i="2"/>
  <c r="H201" i="2"/>
  <c r="I201" i="2"/>
  <c r="E17" i="2"/>
  <c r="F17" i="2" s="1"/>
  <c r="D17" i="2"/>
  <c r="G17" i="2" s="1"/>
  <c r="D18" i="2"/>
  <c r="G18" i="2" s="1"/>
  <c r="D19" i="2"/>
  <c r="G19" i="2" s="1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I17" i="2" l="1"/>
  <c r="H17" i="2"/>
  <c r="E18" i="2" l="1"/>
  <c r="H18" i="2" l="1"/>
  <c r="F18" i="2"/>
  <c r="I18" i="2" s="1"/>
  <c r="E19" i="2" s="1"/>
  <c r="F19" i="2" l="1"/>
  <c r="I19" i="2" s="1"/>
  <c r="H19" i="2"/>
</calcChain>
</file>

<file path=xl/sharedStrings.xml><?xml version="1.0" encoding="utf-8"?>
<sst xmlns="http://schemas.openxmlformats.org/spreadsheetml/2006/main" count="69" uniqueCount="60">
  <si>
    <t>Vanguard</t>
  </si>
  <si>
    <t>Michelle</t>
  </si>
  <si>
    <t>31 QUAILVALLEY DR</t>
  </si>
  <si>
    <t>Payment Date</t>
  </si>
  <si>
    <t>Principal</t>
  </si>
  <si>
    <t>Interest</t>
  </si>
  <si>
    <t>Late Fee</t>
  </si>
  <si>
    <t>Total Received</t>
  </si>
  <si>
    <t>Loan amount</t>
  </si>
  <si>
    <t>Monthly payment</t>
  </si>
  <si>
    <t>Interest rate</t>
  </si>
  <si>
    <t>Late fee %</t>
  </si>
  <si>
    <t>Start date</t>
  </si>
  <si>
    <t>Term end date</t>
  </si>
  <si>
    <t>Default interest rate</t>
  </si>
  <si>
    <t>Due Date</t>
  </si>
  <si>
    <t>Amount Paid</t>
  </si>
  <si>
    <t>Days Late</t>
  </si>
  <si>
    <t>New Balance</t>
  </si>
  <si>
    <t>LOAN TRACKER</t>
  </si>
  <si>
    <t>Loan amount:</t>
  </si>
  <si>
    <t>Monthly payment:</t>
  </si>
  <si>
    <t>Interest rate:</t>
  </si>
  <si>
    <t>Late fee %:</t>
  </si>
  <si>
    <t>Start date:</t>
  </si>
  <si>
    <t>Term end date:</t>
  </si>
  <si>
    <t>Default interest rate:</t>
  </si>
  <si>
    <t>Lender name:</t>
  </si>
  <si>
    <t>Borrower name:</t>
  </si>
  <si>
    <t>Lender name</t>
  </si>
  <si>
    <t>Borrower name</t>
  </si>
  <si>
    <t>Property Collateral:</t>
  </si>
  <si>
    <t>GUIDE</t>
  </si>
  <si>
    <t>The individual or entity providing the loan</t>
  </si>
  <si>
    <t>The individual or entity receiving the loan</t>
  </si>
  <si>
    <t>The original principal amount issued to the borrower</t>
  </si>
  <si>
    <t>The scheduled payment amount agreed upon in the loan terms</t>
  </si>
  <si>
    <t>The annual interest rate applied to the outstanding loan balance</t>
  </si>
  <si>
    <t>The percentage charged as a penalty when a payment is late</t>
  </si>
  <si>
    <t>The official date the loan agreement begins</t>
  </si>
  <si>
    <t>The final date the loan is expected to be repaid</t>
  </si>
  <si>
    <t>The elevated rate charged if the loan goes beyond the agreed term</t>
  </si>
  <si>
    <t>Property collateral</t>
  </si>
  <si>
    <t>The asset pledged as security for the loan</t>
  </si>
  <si>
    <t>The scheduled date the payment is required</t>
  </si>
  <si>
    <t>The date the payment is actually received</t>
  </si>
  <si>
    <t>The amount the borrower paid for that installment</t>
  </si>
  <si>
    <t>The number of days between the due date and actual payment date</t>
  </si>
  <si>
    <t>The interest portion charged for that payment period</t>
  </si>
  <si>
    <t>The portion of the payment that reduces the outstanding loan balance</t>
  </si>
  <si>
    <t>The penalty applied when a payment is submitted after the due date</t>
  </si>
  <si>
    <t>The total funds collected for that entry, including payment, interest, and any late fee</t>
  </si>
  <si>
    <t>The remaining loan balance after applying the principal portion of the payment</t>
  </si>
  <si>
    <t>INPUTS</t>
  </si>
  <si>
    <t xml:space="preserve">PAYMENT TABLE </t>
  </si>
  <si>
    <t>HOW TO USE THE TRACKER</t>
  </si>
  <si>
    <t>1. Fill in the gray boxes at the top once.</t>
  </si>
  <si>
    <r>
      <t xml:space="preserve">2. For each payment, type the </t>
    </r>
    <r>
      <rPr>
        <b/>
        <sz val="10"/>
        <color rgb="FF000000"/>
        <rFont val="Arial"/>
        <family val="2"/>
        <scheme val="minor"/>
      </rPr>
      <t>Due Date</t>
    </r>
    <r>
      <rPr>
        <sz val="10"/>
        <color rgb="FF000000"/>
        <rFont val="Arial"/>
        <family val="2"/>
        <scheme val="minor"/>
      </rPr>
      <t xml:space="preserve">, </t>
    </r>
    <r>
      <rPr>
        <b/>
        <sz val="10"/>
        <color rgb="FF000000"/>
        <rFont val="Arial"/>
        <family val="2"/>
        <scheme val="minor"/>
      </rPr>
      <t>Payment Date</t>
    </r>
    <r>
      <rPr>
        <sz val="10"/>
        <color rgb="FF000000"/>
        <rFont val="Arial"/>
        <family val="2"/>
        <scheme val="minor"/>
      </rPr>
      <t xml:space="preserve">, and </t>
    </r>
    <r>
      <rPr>
        <b/>
        <sz val="10"/>
        <color rgb="FF000000"/>
        <rFont val="Arial"/>
        <family val="2"/>
        <scheme val="minor"/>
      </rPr>
      <t>Amount Paid</t>
    </r>
    <r>
      <rPr>
        <sz val="10"/>
        <color rgb="FF000000"/>
        <rFont val="Arial"/>
        <family val="2"/>
        <scheme val="minor"/>
      </rPr>
      <t>.</t>
    </r>
  </si>
  <si>
    <t>4. Each new payment row updates the remaining balance.</t>
  </si>
  <si>
    <t>3. Everything else fills in automatically, do not type in white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</si>
</sst>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[$$-409]#,##0.00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sz val="36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6" tint="0.79998168889431442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1">
    <xf numFmtId="0" fontId="0" fillId="0" borderId="0" xfId="0"/>
    <xf numFmtId="0" fontId="3" fillId="0" borderId="0" xfId="0" applyFont="1"/>
    <xf numFmtId="0" fontId="0" fillId="7" borderId="0" xfId="0" applyFill="1"/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24" xfId="0" applyFont="1" applyBorder="1" applyAlignment="1">
      <alignment horizontal="left" vertical="center" indent="1"/>
    </xf>
    <xf numFmtId="0" fontId="4" fillId="0" borderId="25" xfId="0" applyFont="1" applyBorder="1" applyAlignment="1">
      <alignment horizontal="left" vertical="center" indent="1"/>
    </xf>
    <xf numFmtId="0" fontId="4" fillId="0" borderId="26" xfId="0" applyFont="1" applyBorder="1" applyAlignment="1">
      <alignment horizontal="left" vertical="center" indent="1"/>
    </xf>
    <xf numFmtId="0" fontId="0" fillId="0" borderId="0" xfId="0" applyProtection="1">
      <protection locked="0"/>
    </xf>
    <xf numFmtId="0" fontId="3" fillId="0" borderId="8" xfId="0" applyFont="1" applyBorder="1" applyProtection="1">
      <protection locked="0"/>
    </xf>
    <xf numFmtId="0" fontId="4" fillId="4" borderId="9" xfId="0" applyFont="1" applyFill="1" applyBorder="1" applyAlignment="1" applyProtection="1">
      <alignment horizontal="center" vertical="center" wrapText="1"/>
      <protection locked="0"/>
    </xf>
    <xf numFmtId="0" fontId="3" fillId="0" borderId="10" xfId="0" applyFont="1" applyBorder="1" applyProtection="1">
      <protection locked="0"/>
    </xf>
    <xf numFmtId="0" fontId="4" fillId="4" borderId="11" xfId="0" applyFont="1" applyFill="1" applyBorder="1" applyAlignment="1" applyProtection="1">
      <alignment horizontal="center" vertical="center" wrapText="1"/>
      <protection locked="0"/>
    </xf>
    <xf numFmtId="164" fontId="4" fillId="4" borderId="11" xfId="0" applyNumberFormat="1" applyFont="1" applyFill="1" applyBorder="1" applyAlignment="1" applyProtection="1">
      <alignment horizontal="center" vertical="center" wrapText="1"/>
      <protection locked="0"/>
    </xf>
    <xf numFmtId="10" fontId="4" fillId="4" borderId="11" xfId="0" applyNumberFormat="1" applyFont="1" applyFill="1" applyBorder="1" applyAlignment="1" applyProtection="1">
      <alignment horizontal="center" vertical="center" wrapText="1"/>
      <protection locked="0"/>
    </xf>
    <xf numFmtId="14" fontId="4" fillId="4" borderId="1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2" xfId="0" applyFont="1" applyBorder="1" applyProtection="1">
      <protection locked="0"/>
    </xf>
    <xf numFmtId="0" fontId="1" fillId="4" borderId="0" xfId="0" applyFont="1" applyFill="1" applyAlignment="1" applyProtection="1">
      <alignment horizontal="center" vertical="center"/>
      <protection locked="0"/>
    </xf>
    <xf numFmtId="14" fontId="8" fillId="3" borderId="20" xfId="0" applyNumberFormat="1" applyFont="1" applyFill="1" applyBorder="1" applyAlignment="1" applyProtection="1">
      <alignment horizontal="center" vertical="center" wrapText="1"/>
      <protection locked="0"/>
    </xf>
    <xf numFmtId="14" fontId="8" fillId="3" borderId="21" xfId="0" applyNumberFormat="1" applyFont="1" applyFill="1" applyBorder="1" applyAlignment="1" applyProtection="1">
      <alignment horizontal="center" vertical="center" wrapText="1"/>
      <protection locked="0"/>
    </xf>
    <xf numFmtId="165" fontId="8" fillId="3" borderId="21" xfId="1" applyNumberFormat="1" applyFont="1" applyFill="1" applyBorder="1" applyAlignment="1" applyProtection="1">
      <alignment horizontal="center" vertical="center" wrapText="1"/>
      <protection locked="0"/>
    </xf>
    <xf numFmtId="1" fontId="8" fillId="3" borderId="21" xfId="0" applyNumberFormat="1" applyFont="1" applyFill="1" applyBorder="1" applyAlignment="1" applyProtection="1">
      <alignment horizontal="center" vertical="center" wrapText="1"/>
      <protection locked="0"/>
    </xf>
    <xf numFmtId="0" fontId="8" fillId="3" borderId="21" xfId="0" applyFont="1" applyFill="1" applyBorder="1" applyAlignment="1" applyProtection="1">
      <alignment horizontal="center" vertical="center" wrapText="1"/>
      <protection locked="0"/>
    </xf>
    <xf numFmtId="165" fontId="8" fillId="3" borderId="21" xfId="0" applyNumberFormat="1" applyFont="1" applyFill="1" applyBorder="1" applyAlignment="1" applyProtection="1">
      <alignment horizontal="center" vertical="center" wrapText="1"/>
      <protection locked="0"/>
    </xf>
    <xf numFmtId="165" fontId="8" fillId="3" borderId="22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4" fontId="9" fillId="5" borderId="17" xfId="0" applyNumberFormat="1" applyFont="1" applyFill="1" applyBorder="1" applyAlignment="1" applyProtection="1">
      <alignment horizontal="center" vertical="center" wrapText="1"/>
      <protection locked="0"/>
    </xf>
    <xf numFmtId="14" fontId="9" fillId="5" borderId="19" xfId="0" applyNumberFormat="1" applyFont="1" applyFill="1" applyBorder="1" applyAlignment="1" applyProtection="1">
      <alignment horizontal="center" vertical="center" wrapText="1"/>
      <protection locked="0"/>
    </xf>
    <xf numFmtId="165" fontId="9" fillId="5" borderId="1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14" fontId="9" fillId="5" borderId="10" xfId="0" applyNumberFormat="1" applyFont="1" applyFill="1" applyBorder="1" applyAlignment="1" applyProtection="1">
      <alignment horizontal="center" vertical="center" wrapText="1"/>
      <protection locked="0"/>
    </xf>
    <xf numFmtId="14" fontId="9" fillId="5" borderId="7" xfId="0" applyNumberFormat="1" applyFont="1" applyFill="1" applyBorder="1" applyAlignment="1" applyProtection="1">
      <alignment horizontal="center" vertical="center" wrapText="1"/>
      <protection locked="0"/>
    </xf>
    <xf numFmtId="165" fontId="9" fillId="5" borderId="7" xfId="0" applyNumberFormat="1" applyFont="1" applyFill="1" applyBorder="1" applyAlignment="1" applyProtection="1">
      <alignment horizontal="center" vertical="center" wrapText="1"/>
      <protection locked="0"/>
    </xf>
    <xf numFmtId="14" fontId="9" fillId="5" borderId="12" xfId="0" applyNumberFormat="1" applyFont="1" applyFill="1" applyBorder="1" applyAlignment="1" applyProtection="1">
      <alignment horizontal="center" vertical="center" wrapText="1"/>
      <protection locked="0"/>
    </xf>
    <xf numFmtId="14" fontId="9" fillId="5" borderId="15" xfId="0" applyNumberFormat="1" applyFont="1" applyFill="1" applyBorder="1" applyAlignment="1" applyProtection="1">
      <alignment horizontal="center" vertical="center" wrapText="1"/>
      <protection locked="0"/>
    </xf>
    <xf numFmtId="165" fontId="9" fillId="5" borderId="1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65" fontId="0" fillId="0" borderId="0" xfId="1" applyNumberFormat="1" applyFon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65" fontId="0" fillId="0" borderId="0" xfId="1" applyNumberFormat="1" applyFont="1" applyProtection="1">
      <protection locked="0"/>
    </xf>
    <xf numFmtId="1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1" fontId="9" fillId="6" borderId="19" xfId="0" applyNumberFormat="1" applyFont="1" applyFill="1" applyBorder="1" applyAlignment="1">
      <alignment horizontal="center" vertical="center" wrapText="1"/>
    </xf>
    <xf numFmtId="164" fontId="9" fillId="6" borderId="19" xfId="0" applyNumberFormat="1" applyFont="1" applyFill="1" applyBorder="1" applyAlignment="1">
      <alignment horizontal="center" vertical="center"/>
    </xf>
    <xf numFmtId="165" fontId="9" fillId="6" borderId="19" xfId="0" applyNumberFormat="1" applyFont="1" applyFill="1" applyBorder="1" applyAlignment="1">
      <alignment horizontal="center" vertical="center"/>
    </xf>
    <xf numFmtId="165" fontId="9" fillId="6" borderId="18" xfId="0" applyNumberFormat="1" applyFont="1" applyFill="1" applyBorder="1" applyAlignment="1">
      <alignment horizontal="center" vertical="center"/>
    </xf>
    <xf numFmtId="1" fontId="9" fillId="6" borderId="7" xfId="0" applyNumberFormat="1" applyFont="1" applyFill="1" applyBorder="1" applyAlignment="1">
      <alignment horizontal="center" vertical="center" wrapText="1"/>
    </xf>
    <xf numFmtId="164" fontId="9" fillId="6" borderId="7" xfId="0" applyNumberFormat="1" applyFont="1" applyFill="1" applyBorder="1" applyAlignment="1">
      <alignment horizontal="center" vertical="center"/>
    </xf>
    <xf numFmtId="165" fontId="9" fillId="6" borderId="7" xfId="0" applyNumberFormat="1" applyFont="1" applyFill="1" applyBorder="1" applyAlignment="1">
      <alignment horizontal="center" vertical="center"/>
    </xf>
    <xf numFmtId="165" fontId="9" fillId="6" borderId="11" xfId="0" applyNumberFormat="1" applyFont="1" applyFill="1" applyBorder="1" applyAlignment="1">
      <alignment horizontal="center" vertical="center"/>
    </xf>
    <xf numFmtId="1" fontId="9" fillId="6" borderId="15" xfId="0" applyNumberFormat="1" applyFont="1" applyFill="1" applyBorder="1" applyAlignment="1">
      <alignment horizontal="center" vertical="center" wrapText="1"/>
    </xf>
    <xf numFmtId="164" fontId="9" fillId="6" borderId="15" xfId="0" applyNumberFormat="1" applyFont="1" applyFill="1" applyBorder="1" applyAlignment="1">
      <alignment horizontal="center" vertical="center"/>
    </xf>
    <xf numFmtId="165" fontId="9" fillId="6" borderId="15" xfId="0" applyNumberFormat="1" applyFont="1" applyFill="1" applyBorder="1" applyAlignment="1">
      <alignment horizontal="center" vertical="center"/>
    </xf>
    <xf numFmtId="165" fontId="9" fillId="6" borderId="13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4" xfId="0" applyFont="1" applyFill="1" applyBorder="1" applyAlignment="1" applyProtection="1">
      <alignment horizontal="center" vertical="center"/>
      <protection locked="0"/>
    </xf>
    <xf numFmtId="0" fontId="7" fillId="2" borderId="5" xfId="0" applyFont="1" applyFill="1" applyBorder="1" applyAlignment="1" applyProtection="1">
      <alignment horizontal="center" vertical="center"/>
      <protection locked="0"/>
    </xf>
    <xf numFmtId="0" fontId="7" fillId="2" borderId="1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65" fontId="5" fillId="0" borderId="1" xfId="1" applyNumberFormat="1" applyFont="1" applyBorder="1" applyAlignment="1" applyProtection="1">
      <alignment horizontal="center"/>
      <protection locked="0"/>
    </xf>
    <xf numFmtId="165" fontId="5" fillId="0" borderId="14" xfId="1" applyNumberFormat="1" applyFont="1" applyBorder="1" applyAlignment="1" applyProtection="1">
      <alignment horizontal="center"/>
      <protection locked="0"/>
    </xf>
    <xf numFmtId="165" fontId="5" fillId="0" borderId="2" xfId="1" applyNumberFormat="1" applyFont="1" applyBorder="1" applyAlignment="1" applyProtection="1">
      <alignment horizontal="center"/>
      <protection locked="0"/>
    </xf>
    <xf numFmtId="165" fontId="5" fillId="0" borderId="3" xfId="1" applyNumberFormat="1" applyFont="1" applyBorder="1" applyAlignment="1" applyProtection="1">
      <alignment horizontal="center"/>
      <protection locked="0"/>
    </xf>
    <xf numFmtId="165" fontId="5" fillId="0" borderId="0" xfId="1" applyNumberFormat="1" applyFont="1" applyBorder="1" applyAlignment="1" applyProtection="1">
      <alignment horizontal="center"/>
      <protection locked="0"/>
    </xf>
    <xf numFmtId="165" fontId="5" fillId="0" borderId="4" xfId="1" applyNumberFormat="1" applyFont="1" applyBorder="1" applyAlignment="1" applyProtection="1">
      <alignment horizontal="center"/>
      <protection locked="0"/>
    </xf>
    <xf numFmtId="165" fontId="5" fillId="0" borderId="5" xfId="1" applyNumberFormat="1" applyFont="1" applyBorder="1" applyAlignment="1" applyProtection="1">
      <alignment horizontal="center"/>
      <protection locked="0"/>
    </xf>
    <xf numFmtId="165" fontId="5" fillId="0" borderId="16" xfId="1" applyNumberFormat="1" applyFont="1" applyBorder="1" applyAlignment="1" applyProtection="1">
      <alignment horizontal="center"/>
      <protection locked="0"/>
    </xf>
    <xf numFmtId="165" fontId="5" fillId="0" borderId="6" xfId="1" applyNumberFormat="1" applyFont="1" applyBorder="1" applyAlignment="1" applyProtection="1">
      <alignment horizontal="center"/>
      <protection locked="0"/>
    </xf>
    <xf numFmtId="0" fontId="3" fillId="8" borderId="0" xfId="0" applyFont="1" applyFill="1" applyAlignment="1" applyProtection="1">
      <alignment horizontal="center"/>
      <protection locked="0"/>
    </xf>
    <xf numFmtId="0" fontId="3" fillId="8" borderId="16" xfId="0" applyFont="1" applyFill="1" applyBorder="1" applyAlignment="1" applyProtection="1">
      <alignment horizontal="center"/>
      <protection locked="0"/>
    </xf>
    <xf numFmtId="0" fontId="7" fillId="2" borderId="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B752C-FFE1-4630-92AC-D2656B74FD4C}">
  <dimension ref="A1:C29"/>
  <sheetViews>
    <sheetView showGridLines="0" workbookViewId="0">
      <selection activeCell="D32" sqref="D32"/>
    </sheetView>
  </sheetViews>
  <sheetFormatPr defaultColWidth="56.54296875" defaultRowHeight="15.5" x14ac:dyDescent="0.35"/>
  <cols>
    <col min="1" max="1" width="18.08984375" style="1" bestFit="1" customWidth="1"/>
    <col min="2" max="2" width="68.453125" bestFit="1" customWidth="1"/>
    <col min="3" max="3" width="65.08984375" bestFit="1" customWidth="1"/>
  </cols>
  <sheetData>
    <row r="1" spans="1:3" s="2" customFormat="1" ht="12.5" customHeight="1" x14ac:dyDescent="0.25">
      <c r="A1" s="88" t="s">
        <v>32</v>
      </c>
      <c r="B1" s="89"/>
      <c r="C1" s="90"/>
    </row>
    <row r="2" spans="1:3" s="2" customFormat="1" ht="12.5" customHeight="1" x14ac:dyDescent="0.25">
      <c r="A2" s="67"/>
      <c r="B2" s="91"/>
      <c r="C2" s="92"/>
    </row>
    <row r="3" spans="1:3" s="2" customFormat="1" ht="13" customHeight="1" x14ac:dyDescent="0.25">
      <c r="A3" s="67"/>
      <c r="B3" s="91"/>
      <c r="C3" s="92"/>
    </row>
    <row r="4" spans="1:3" s="2" customFormat="1" ht="13" customHeight="1" x14ac:dyDescent="0.25">
      <c r="A4" s="93"/>
      <c r="B4" s="94"/>
      <c r="C4" s="95"/>
    </row>
    <row r="5" spans="1:3" s="2" customFormat="1" ht="13" customHeight="1" thickBot="1" x14ac:dyDescent="0.3">
      <c r="A5" s="98"/>
      <c r="B5" s="99"/>
      <c r="C5" s="100"/>
    </row>
    <row r="6" spans="1:3" s="3" customFormat="1" ht="23" customHeight="1" x14ac:dyDescent="0.25">
      <c r="A6" s="96" t="s">
        <v>53</v>
      </c>
      <c r="B6" s="97"/>
    </row>
    <row r="7" spans="1:3" s="3" customFormat="1" ht="13" customHeight="1" thickBot="1" x14ac:dyDescent="0.3">
      <c r="A7" s="63"/>
      <c r="B7" s="64"/>
    </row>
    <row r="8" spans="1:3" s="3" customFormat="1" ht="13" x14ac:dyDescent="0.25">
      <c r="A8" s="6" t="s">
        <v>29</v>
      </c>
      <c r="B8" s="7" t="s">
        <v>33</v>
      </c>
    </row>
    <row r="9" spans="1:3" s="3" customFormat="1" ht="13" x14ac:dyDescent="0.25">
      <c r="A9" s="4" t="s">
        <v>30</v>
      </c>
      <c r="B9" s="8" t="s">
        <v>34</v>
      </c>
    </row>
    <row r="10" spans="1:3" s="3" customFormat="1" ht="13" x14ac:dyDescent="0.25">
      <c r="A10" s="4" t="s">
        <v>8</v>
      </c>
      <c r="B10" s="8" t="s">
        <v>35</v>
      </c>
    </row>
    <row r="11" spans="1:3" s="3" customFormat="1" ht="13" x14ac:dyDescent="0.25">
      <c r="A11" s="4" t="s">
        <v>9</v>
      </c>
      <c r="B11" s="8" t="s">
        <v>36</v>
      </c>
    </row>
    <row r="12" spans="1:3" s="3" customFormat="1" ht="13" x14ac:dyDescent="0.25">
      <c r="A12" s="4" t="s">
        <v>10</v>
      </c>
      <c r="B12" s="8" t="s">
        <v>37</v>
      </c>
    </row>
    <row r="13" spans="1:3" s="3" customFormat="1" ht="13" x14ac:dyDescent="0.25">
      <c r="A13" s="4" t="s">
        <v>11</v>
      </c>
      <c r="B13" s="8" t="s">
        <v>38</v>
      </c>
      <c r="C13"/>
    </row>
    <row r="14" spans="1:3" s="3" customFormat="1" ht="13" x14ac:dyDescent="0.25">
      <c r="A14" s="4" t="s">
        <v>12</v>
      </c>
      <c r="B14" s="8" t="s">
        <v>39</v>
      </c>
      <c r="C14"/>
    </row>
    <row r="15" spans="1:3" s="3" customFormat="1" ht="13" x14ac:dyDescent="0.25">
      <c r="A15" s="4" t="s">
        <v>13</v>
      </c>
      <c r="B15" s="8" t="s">
        <v>40</v>
      </c>
      <c r="C15"/>
    </row>
    <row r="16" spans="1:3" s="3" customFormat="1" ht="13" x14ac:dyDescent="0.25">
      <c r="A16" s="4" t="s">
        <v>14</v>
      </c>
      <c r="B16" s="8" t="s">
        <v>41</v>
      </c>
      <c r="C16"/>
    </row>
    <row r="17" spans="1:3" ht="13.5" thickBot="1" x14ac:dyDescent="0.3">
      <c r="A17" s="5" t="s">
        <v>42</v>
      </c>
      <c r="B17" s="9" t="s">
        <v>43</v>
      </c>
    </row>
    <row r="18" spans="1:3" ht="16" thickBot="1" x14ac:dyDescent="0.4"/>
    <row r="19" spans="1:3" ht="12.5" x14ac:dyDescent="0.25">
      <c r="A19" s="61" t="s">
        <v>54</v>
      </c>
      <c r="B19" s="62"/>
      <c r="C19" s="65" t="s">
        <v>55</v>
      </c>
    </row>
    <row r="20" spans="1:3" ht="13" thickBot="1" x14ac:dyDescent="0.3">
      <c r="A20" s="63"/>
      <c r="B20" s="64"/>
      <c r="C20" s="66"/>
    </row>
    <row r="21" spans="1:3" ht="13" x14ac:dyDescent="0.25">
      <c r="A21" s="6" t="s">
        <v>15</v>
      </c>
      <c r="B21" s="7" t="s">
        <v>44</v>
      </c>
      <c r="C21" s="12" t="s">
        <v>56</v>
      </c>
    </row>
    <row r="22" spans="1:3" ht="13" x14ac:dyDescent="0.25">
      <c r="A22" s="4" t="s">
        <v>3</v>
      </c>
      <c r="B22" s="8" t="s">
        <v>45</v>
      </c>
      <c r="C22" s="10" t="s">
        <v>57</v>
      </c>
    </row>
    <row r="23" spans="1:3" ht="13" x14ac:dyDescent="0.25">
      <c r="A23" s="4" t="s">
        <v>16</v>
      </c>
      <c r="B23" s="8" t="s">
        <v>46</v>
      </c>
      <c r="C23" s="10" t="s">
        <v>59</v>
      </c>
    </row>
    <row r="24" spans="1:3" ht="13.5" thickBot="1" x14ac:dyDescent="0.3">
      <c r="A24" s="4" t="s">
        <v>17</v>
      </c>
      <c r="B24" s="8" t="s">
        <v>47</v>
      </c>
      <c r="C24" s="11" t="s">
        <v>58</v>
      </c>
    </row>
    <row r="25" spans="1:3" ht="13" x14ac:dyDescent="0.25">
      <c r="A25" s="4" t="s">
        <v>5</v>
      </c>
      <c r="B25" s="8" t="s">
        <v>48</v>
      </c>
    </row>
    <row r="26" spans="1:3" ht="13" x14ac:dyDescent="0.25">
      <c r="A26" s="4" t="s">
        <v>4</v>
      </c>
      <c r="B26" s="8" t="s">
        <v>49</v>
      </c>
    </row>
    <row r="27" spans="1:3" ht="13" x14ac:dyDescent="0.25">
      <c r="A27" s="4" t="s">
        <v>6</v>
      </c>
      <c r="B27" s="8" t="s">
        <v>50</v>
      </c>
    </row>
    <row r="28" spans="1:3" ht="13" x14ac:dyDescent="0.25">
      <c r="A28" s="4" t="s">
        <v>7</v>
      </c>
      <c r="B28" s="8" t="s">
        <v>51</v>
      </c>
    </row>
    <row r="29" spans="1:3" ht="13.5" thickBot="1" x14ac:dyDescent="0.3">
      <c r="A29" s="5" t="s">
        <v>18</v>
      </c>
      <c r="B29" s="9" t="s">
        <v>52</v>
      </c>
    </row>
  </sheetData>
  <mergeCells count="6">
    <mergeCell ref="A6:B7"/>
    <mergeCell ref="A19:B20"/>
    <mergeCell ref="C19:C20"/>
    <mergeCell ref="A1:C3"/>
    <mergeCell ref="A5:C5"/>
    <mergeCell ref="A4:C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5AFE-BC17-44CA-8BC5-E68C3441953E}">
  <dimension ref="A1:I339"/>
  <sheetViews>
    <sheetView tabSelected="1" workbookViewId="0">
      <pane ySplit="16" topLeftCell="A17" activePane="bottomLeft" state="frozen"/>
      <selection pane="bottomLeft" activeCell="B12" sqref="B12"/>
    </sheetView>
  </sheetViews>
  <sheetFormatPr defaultColWidth="42.7265625" defaultRowHeight="15.5" x14ac:dyDescent="0.35"/>
  <cols>
    <col min="1" max="1" width="22.26953125" style="45" bestFit="1" customWidth="1"/>
    <col min="2" max="2" width="23.08984375" style="13" customWidth="1"/>
    <col min="3" max="3" width="17.6328125" style="46" customWidth="1"/>
    <col min="4" max="4" width="11.1796875" style="47" bestFit="1" customWidth="1"/>
    <col min="5" max="5" width="12.453125" style="13" customWidth="1"/>
    <col min="6" max="6" width="13.7265625" style="13" customWidth="1"/>
    <col min="7" max="7" width="13" style="48" customWidth="1"/>
    <col min="8" max="8" width="21.26953125" style="48" customWidth="1"/>
    <col min="9" max="9" width="18.08984375" style="48" customWidth="1"/>
    <col min="10" max="16384" width="42.7265625" style="13"/>
  </cols>
  <sheetData>
    <row r="1" spans="1:9" ht="15.5" customHeight="1" x14ac:dyDescent="0.25">
      <c r="A1" s="68" t="s">
        <v>19</v>
      </c>
      <c r="B1" s="69"/>
      <c r="C1" s="69"/>
      <c r="D1" s="69"/>
      <c r="E1" s="69"/>
      <c r="F1" s="69"/>
      <c r="G1" s="69"/>
      <c r="H1" s="69"/>
      <c r="I1" s="70"/>
    </row>
    <row r="2" spans="1:9" ht="15.5" customHeight="1" x14ac:dyDescent="0.25">
      <c r="A2" s="71"/>
      <c r="B2" s="72"/>
      <c r="C2" s="72"/>
      <c r="D2" s="72"/>
      <c r="E2" s="72"/>
      <c r="F2" s="72"/>
      <c r="G2" s="72"/>
      <c r="H2" s="72"/>
      <c r="I2" s="73"/>
    </row>
    <row r="3" spans="1:9" ht="15.5" customHeight="1" thickBot="1" x14ac:dyDescent="0.3">
      <c r="A3" s="74"/>
      <c r="B3" s="75"/>
      <c r="C3" s="75"/>
      <c r="D3" s="75"/>
      <c r="E3" s="75"/>
      <c r="F3" s="75"/>
      <c r="G3" s="75"/>
      <c r="H3" s="75"/>
      <c r="I3" s="76"/>
    </row>
    <row r="4" spans="1:9" x14ac:dyDescent="0.35">
      <c r="A4" s="14" t="s">
        <v>27</v>
      </c>
      <c r="B4" s="15" t="s">
        <v>0</v>
      </c>
      <c r="C4" s="77"/>
      <c r="D4" s="78"/>
      <c r="E4" s="78"/>
      <c r="F4" s="78"/>
      <c r="G4" s="78"/>
      <c r="H4" s="78"/>
      <c r="I4" s="79"/>
    </row>
    <row r="5" spans="1:9" x14ac:dyDescent="0.35">
      <c r="A5" s="16" t="s">
        <v>28</v>
      </c>
      <c r="B5" s="17" t="s">
        <v>1</v>
      </c>
      <c r="C5" s="80"/>
      <c r="D5" s="81"/>
      <c r="E5" s="81"/>
      <c r="F5" s="81"/>
      <c r="G5" s="81"/>
      <c r="H5" s="81"/>
      <c r="I5" s="82"/>
    </row>
    <row r="6" spans="1:9" ht="26" customHeight="1" x14ac:dyDescent="0.35">
      <c r="A6" s="16" t="s">
        <v>20</v>
      </c>
      <c r="B6" s="18">
        <v>45000</v>
      </c>
      <c r="C6" s="80"/>
      <c r="D6" s="81"/>
      <c r="E6" s="81"/>
      <c r="F6" s="81"/>
      <c r="G6" s="81"/>
      <c r="H6" s="81"/>
      <c r="I6" s="82"/>
    </row>
    <row r="7" spans="1:9" x14ac:dyDescent="0.35">
      <c r="A7" s="16" t="s">
        <v>21</v>
      </c>
      <c r="B7" s="18">
        <v>1054.8499999999999</v>
      </c>
      <c r="C7" s="80"/>
      <c r="D7" s="81"/>
      <c r="E7" s="81"/>
      <c r="F7" s="81"/>
      <c r="G7" s="81"/>
      <c r="H7" s="81"/>
      <c r="I7" s="82"/>
    </row>
    <row r="8" spans="1:9" x14ac:dyDescent="0.35">
      <c r="A8" s="16" t="s">
        <v>22</v>
      </c>
      <c r="B8" s="19">
        <v>0.13</v>
      </c>
      <c r="C8" s="80"/>
      <c r="D8" s="81"/>
      <c r="E8" s="81"/>
      <c r="F8" s="81"/>
      <c r="G8" s="81"/>
      <c r="H8" s="81"/>
      <c r="I8" s="82"/>
    </row>
    <row r="9" spans="1:9" x14ac:dyDescent="0.35">
      <c r="A9" s="16" t="s">
        <v>23</v>
      </c>
      <c r="B9" s="19">
        <v>0.02</v>
      </c>
      <c r="C9" s="80"/>
      <c r="D9" s="81"/>
      <c r="E9" s="81"/>
      <c r="F9" s="81"/>
      <c r="G9" s="81"/>
      <c r="H9" s="81"/>
      <c r="I9" s="82"/>
    </row>
    <row r="10" spans="1:9" x14ac:dyDescent="0.35">
      <c r="A10" s="16" t="s">
        <v>24</v>
      </c>
      <c r="B10" s="20">
        <v>45396</v>
      </c>
      <c r="C10" s="80"/>
      <c r="D10" s="81"/>
      <c r="E10" s="81"/>
      <c r="F10" s="81"/>
      <c r="G10" s="81"/>
      <c r="H10" s="81"/>
      <c r="I10" s="82"/>
    </row>
    <row r="11" spans="1:9" x14ac:dyDescent="0.35">
      <c r="A11" s="16" t="s">
        <v>25</v>
      </c>
      <c r="B11" s="20">
        <v>45961</v>
      </c>
      <c r="C11" s="80"/>
      <c r="D11" s="81"/>
      <c r="E11" s="81"/>
      <c r="F11" s="81"/>
      <c r="G11" s="81"/>
      <c r="H11" s="81"/>
      <c r="I11" s="82"/>
    </row>
    <row r="12" spans="1:9" x14ac:dyDescent="0.35">
      <c r="A12" s="16" t="s">
        <v>26</v>
      </c>
      <c r="B12" s="19">
        <v>0.18</v>
      </c>
      <c r="C12" s="80"/>
      <c r="D12" s="81"/>
      <c r="E12" s="81"/>
      <c r="F12" s="81"/>
      <c r="G12" s="81"/>
      <c r="H12" s="81"/>
      <c r="I12" s="82"/>
    </row>
    <row r="13" spans="1:9" ht="16" thickBot="1" x14ac:dyDescent="0.4">
      <c r="A13" s="21" t="s">
        <v>31</v>
      </c>
      <c r="B13" s="22" t="s">
        <v>2</v>
      </c>
      <c r="C13" s="83"/>
      <c r="D13" s="84"/>
      <c r="E13" s="84"/>
      <c r="F13" s="84"/>
      <c r="G13" s="84"/>
      <c r="H13" s="84"/>
      <c r="I13" s="85"/>
    </row>
    <row r="14" spans="1:9" ht="15.5" customHeight="1" x14ac:dyDescent="0.25">
      <c r="A14" s="86"/>
      <c r="B14" s="86"/>
      <c r="C14" s="86"/>
      <c r="D14" s="86"/>
      <c r="E14" s="86"/>
      <c r="F14" s="86"/>
      <c r="G14" s="86"/>
      <c r="H14" s="86"/>
      <c r="I14" s="86"/>
    </row>
    <row r="15" spans="1:9" ht="16" customHeight="1" thickBot="1" x14ac:dyDescent="0.3">
      <c r="A15" s="87"/>
      <c r="B15" s="87"/>
      <c r="C15" s="87"/>
      <c r="D15" s="87"/>
      <c r="E15" s="87"/>
      <c r="F15" s="87"/>
      <c r="G15" s="87"/>
      <c r="H15" s="87"/>
      <c r="I15" s="87"/>
    </row>
    <row r="16" spans="1:9" s="30" customFormat="1" ht="16" thickBot="1" x14ac:dyDescent="0.3">
      <c r="A16" s="23" t="s">
        <v>15</v>
      </c>
      <c r="B16" s="24" t="s">
        <v>3</v>
      </c>
      <c r="C16" s="25" t="s">
        <v>16</v>
      </c>
      <c r="D16" s="26" t="s">
        <v>17</v>
      </c>
      <c r="E16" s="27" t="s">
        <v>5</v>
      </c>
      <c r="F16" s="27" t="s">
        <v>4</v>
      </c>
      <c r="G16" s="28" t="s">
        <v>6</v>
      </c>
      <c r="H16" s="28" t="s">
        <v>7</v>
      </c>
      <c r="I16" s="29" t="s">
        <v>18</v>
      </c>
    </row>
    <row r="17" spans="1:9" s="34" customFormat="1" ht="12.5" x14ac:dyDescent="0.25">
      <c r="A17" s="31">
        <v>45627</v>
      </c>
      <c r="B17" s="32">
        <v>45629</v>
      </c>
      <c r="C17" s="33">
        <v>1054.8499999999999</v>
      </c>
      <c r="D17" s="49">
        <f>IF(OR(A17="",B17=""),"",MAX(0,B17-A17))</f>
        <v>2</v>
      </c>
      <c r="E17" s="50">
        <f>IF(C17="","",$B$6*$B$8/12)</f>
        <v>487.5</v>
      </c>
      <c r="F17" s="50">
        <f>IF(C17="","",MAX(0,C17-E17-G17))</f>
        <v>546.25299999999993</v>
      </c>
      <c r="G17" s="51">
        <f>IF(C17="","",IF(D17&gt;0,C17*$B$9,0))</f>
        <v>21.096999999999998</v>
      </c>
      <c r="H17" s="51">
        <f>IF(C17="","",C17+E17+G17)</f>
        <v>1563.4469999999999</v>
      </c>
      <c r="I17" s="52">
        <f>IF(C17="","",$B$6-F17)</f>
        <v>44453.747000000003</v>
      </c>
    </row>
    <row r="18" spans="1:9" s="34" customFormat="1" ht="12.5" x14ac:dyDescent="0.25">
      <c r="A18" s="35">
        <v>45658</v>
      </c>
      <c r="B18" s="36">
        <v>45662</v>
      </c>
      <c r="C18" s="37">
        <v>1055.8499999999999</v>
      </c>
      <c r="D18" s="53">
        <f t="shared" ref="D18:D81" si="0">IF(OR(A18="",B18=""),"",MAX(0,B18-A18))</f>
        <v>4</v>
      </c>
      <c r="E18" s="54">
        <f>IF(C18="","",I17*$B$8/12)</f>
        <v>481.58225916666674</v>
      </c>
      <c r="F18" s="54">
        <f t="shared" ref="F18" si="1">IF(C18="","",MAX(0,C18-E18-G18))</f>
        <v>553.1507408333332</v>
      </c>
      <c r="G18" s="55">
        <f t="shared" ref="G18" si="2">IF(C18="","",IF(D18&gt;0,C18*$B$9,0))</f>
        <v>21.116999999999997</v>
      </c>
      <c r="H18" s="55">
        <f t="shared" ref="H18" si="3">IF(C18="","",C18+E18+G18)</f>
        <v>1558.5492591666666</v>
      </c>
      <c r="I18" s="56">
        <f>IF(C18="","",I17-F18)</f>
        <v>43900.596259166668</v>
      </c>
    </row>
    <row r="19" spans="1:9" s="34" customFormat="1" ht="12.5" x14ac:dyDescent="0.25">
      <c r="A19" s="35">
        <v>45697</v>
      </c>
      <c r="B19" s="36">
        <v>45706</v>
      </c>
      <c r="C19" s="37">
        <v>1056.8499999999999</v>
      </c>
      <c r="D19" s="53">
        <f t="shared" si="0"/>
        <v>9</v>
      </c>
      <c r="E19" s="54">
        <f t="shared" ref="E19:E82" si="4">IF(C19="","",I18*$B$8/12)</f>
        <v>475.58979280763896</v>
      </c>
      <c r="F19" s="54">
        <f t="shared" ref="F19:F82" si="5">IF(C19="","",MAX(0,C19-E19-G19))</f>
        <v>560.12320719236095</v>
      </c>
      <c r="G19" s="55">
        <f t="shared" ref="G19:G82" si="6">IF(C19="","",IF(D19&gt;0,C19*$B$9,0))</f>
        <v>21.136999999999997</v>
      </c>
      <c r="H19" s="55">
        <f t="shared" ref="H19:H82" si="7">IF(C19="","",C19+E19+G19)</f>
        <v>1553.5767928076389</v>
      </c>
      <c r="I19" s="56">
        <f t="shared" ref="I19:I82" si="8">IF(C19="","",I18-F19)</f>
        <v>43340.47305197431</v>
      </c>
    </row>
    <row r="20" spans="1:9" s="34" customFormat="1" ht="12.5" x14ac:dyDescent="0.25">
      <c r="A20" s="35"/>
      <c r="B20" s="36"/>
      <c r="C20" s="37"/>
      <c r="D20" s="53" t="str">
        <f t="shared" si="0"/>
        <v/>
      </c>
      <c r="E20" s="54" t="str">
        <f t="shared" si="4"/>
        <v/>
      </c>
      <c r="F20" s="54" t="str">
        <f t="shared" si="5"/>
        <v/>
      </c>
      <c r="G20" s="55" t="str">
        <f t="shared" si="6"/>
        <v/>
      </c>
      <c r="H20" s="55" t="str">
        <f t="shared" si="7"/>
        <v/>
      </c>
      <c r="I20" s="56" t="str">
        <f t="shared" si="8"/>
        <v/>
      </c>
    </row>
    <row r="21" spans="1:9" s="34" customFormat="1" ht="12.5" x14ac:dyDescent="0.25">
      <c r="A21" s="35"/>
      <c r="B21" s="36"/>
      <c r="C21" s="37"/>
      <c r="D21" s="53" t="str">
        <f t="shared" si="0"/>
        <v/>
      </c>
      <c r="E21" s="54" t="str">
        <f t="shared" si="4"/>
        <v/>
      </c>
      <c r="F21" s="54" t="str">
        <f t="shared" si="5"/>
        <v/>
      </c>
      <c r="G21" s="55" t="str">
        <f t="shared" si="6"/>
        <v/>
      </c>
      <c r="H21" s="55" t="str">
        <f t="shared" si="7"/>
        <v/>
      </c>
      <c r="I21" s="56" t="str">
        <f t="shared" si="8"/>
        <v/>
      </c>
    </row>
    <row r="22" spans="1:9" s="34" customFormat="1" ht="12.5" x14ac:dyDescent="0.25">
      <c r="A22" s="35"/>
      <c r="B22" s="36"/>
      <c r="C22" s="37"/>
      <c r="D22" s="53" t="str">
        <f t="shared" si="0"/>
        <v/>
      </c>
      <c r="E22" s="54" t="str">
        <f t="shared" si="4"/>
        <v/>
      </c>
      <c r="F22" s="54" t="str">
        <f t="shared" si="5"/>
        <v/>
      </c>
      <c r="G22" s="55" t="str">
        <f t="shared" si="6"/>
        <v/>
      </c>
      <c r="H22" s="55" t="str">
        <f t="shared" si="7"/>
        <v/>
      </c>
      <c r="I22" s="56" t="str">
        <f t="shared" si="8"/>
        <v/>
      </c>
    </row>
    <row r="23" spans="1:9" s="34" customFormat="1" ht="12.5" x14ac:dyDescent="0.25">
      <c r="A23" s="35"/>
      <c r="B23" s="36"/>
      <c r="C23" s="37"/>
      <c r="D23" s="53" t="str">
        <f t="shared" si="0"/>
        <v/>
      </c>
      <c r="E23" s="54" t="str">
        <f t="shared" si="4"/>
        <v/>
      </c>
      <c r="F23" s="54" t="str">
        <f t="shared" si="5"/>
        <v/>
      </c>
      <c r="G23" s="55" t="str">
        <f t="shared" si="6"/>
        <v/>
      </c>
      <c r="H23" s="55" t="str">
        <f t="shared" si="7"/>
        <v/>
      </c>
      <c r="I23" s="56" t="str">
        <f t="shared" si="8"/>
        <v/>
      </c>
    </row>
    <row r="24" spans="1:9" s="34" customFormat="1" ht="12.5" x14ac:dyDescent="0.25">
      <c r="A24" s="35"/>
      <c r="B24" s="36"/>
      <c r="C24" s="37"/>
      <c r="D24" s="53" t="str">
        <f t="shared" si="0"/>
        <v/>
      </c>
      <c r="E24" s="54" t="str">
        <f t="shared" si="4"/>
        <v/>
      </c>
      <c r="F24" s="54" t="str">
        <f t="shared" si="5"/>
        <v/>
      </c>
      <c r="G24" s="55" t="str">
        <f t="shared" si="6"/>
        <v/>
      </c>
      <c r="H24" s="55" t="str">
        <f t="shared" si="7"/>
        <v/>
      </c>
      <c r="I24" s="56" t="str">
        <f t="shared" si="8"/>
        <v/>
      </c>
    </row>
    <row r="25" spans="1:9" s="34" customFormat="1" ht="12.5" x14ac:dyDescent="0.25">
      <c r="A25" s="35"/>
      <c r="B25" s="36"/>
      <c r="C25" s="37"/>
      <c r="D25" s="53" t="str">
        <f t="shared" si="0"/>
        <v/>
      </c>
      <c r="E25" s="54" t="str">
        <f t="shared" si="4"/>
        <v/>
      </c>
      <c r="F25" s="54" t="str">
        <f t="shared" si="5"/>
        <v/>
      </c>
      <c r="G25" s="55" t="str">
        <f t="shared" si="6"/>
        <v/>
      </c>
      <c r="H25" s="55" t="str">
        <f t="shared" si="7"/>
        <v/>
      </c>
      <c r="I25" s="56" t="str">
        <f t="shared" si="8"/>
        <v/>
      </c>
    </row>
    <row r="26" spans="1:9" s="34" customFormat="1" ht="12.5" x14ac:dyDescent="0.25">
      <c r="A26" s="35"/>
      <c r="B26" s="36"/>
      <c r="C26" s="37"/>
      <c r="D26" s="53" t="str">
        <f t="shared" si="0"/>
        <v/>
      </c>
      <c r="E26" s="54" t="str">
        <f t="shared" si="4"/>
        <v/>
      </c>
      <c r="F26" s="54" t="str">
        <f t="shared" si="5"/>
        <v/>
      </c>
      <c r="G26" s="55" t="str">
        <f t="shared" si="6"/>
        <v/>
      </c>
      <c r="H26" s="55" t="str">
        <f t="shared" si="7"/>
        <v/>
      </c>
      <c r="I26" s="56" t="str">
        <f t="shared" si="8"/>
        <v/>
      </c>
    </row>
    <row r="27" spans="1:9" s="34" customFormat="1" ht="12.5" x14ac:dyDescent="0.25">
      <c r="A27" s="35"/>
      <c r="B27" s="36"/>
      <c r="C27" s="37"/>
      <c r="D27" s="53" t="str">
        <f t="shared" si="0"/>
        <v/>
      </c>
      <c r="E27" s="54" t="str">
        <f t="shared" si="4"/>
        <v/>
      </c>
      <c r="F27" s="54" t="str">
        <f t="shared" si="5"/>
        <v/>
      </c>
      <c r="G27" s="55" t="str">
        <f t="shared" si="6"/>
        <v/>
      </c>
      <c r="H27" s="55" t="str">
        <f t="shared" si="7"/>
        <v/>
      </c>
      <c r="I27" s="56" t="str">
        <f t="shared" si="8"/>
        <v/>
      </c>
    </row>
    <row r="28" spans="1:9" s="34" customFormat="1" ht="12.5" x14ac:dyDescent="0.25">
      <c r="A28" s="35"/>
      <c r="B28" s="36"/>
      <c r="C28" s="37"/>
      <c r="D28" s="53" t="str">
        <f t="shared" si="0"/>
        <v/>
      </c>
      <c r="E28" s="54" t="str">
        <f t="shared" si="4"/>
        <v/>
      </c>
      <c r="F28" s="54" t="str">
        <f t="shared" si="5"/>
        <v/>
      </c>
      <c r="G28" s="55" t="str">
        <f t="shared" si="6"/>
        <v/>
      </c>
      <c r="H28" s="55" t="str">
        <f t="shared" si="7"/>
        <v/>
      </c>
      <c r="I28" s="56" t="str">
        <f t="shared" si="8"/>
        <v/>
      </c>
    </row>
    <row r="29" spans="1:9" s="34" customFormat="1" ht="12.5" x14ac:dyDescent="0.25">
      <c r="A29" s="35"/>
      <c r="B29" s="36"/>
      <c r="C29" s="37"/>
      <c r="D29" s="53" t="str">
        <f t="shared" si="0"/>
        <v/>
      </c>
      <c r="E29" s="54" t="str">
        <f t="shared" si="4"/>
        <v/>
      </c>
      <c r="F29" s="54" t="str">
        <f t="shared" si="5"/>
        <v/>
      </c>
      <c r="G29" s="55" t="str">
        <f t="shared" si="6"/>
        <v/>
      </c>
      <c r="H29" s="55" t="str">
        <f t="shared" si="7"/>
        <v/>
      </c>
      <c r="I29" s="56" t="str">
        <f t="shared" si="8"/>
        <v/>
      </c>
    </row>
    <row r="30" spans="1:9" s="34" customFormat="1" ht="12.5" x14ac:dyDescent="0.25">
      <c r="A30" s="35"/>
      <c r="B30" s="36"/>
      <c r="C30" s="37"/>
      <c r="D30" s="53" t="str">
        <f t="shared" si="0"/>
        <v/>
      </c>
      <c r="E30" s="54" t="str">
        <f t="shared" si="4"/>
        <v/>
      </c>
      <c r="F30" s="54" t="str">
        <f t="shared" si="5"/>
        <v/>
      </c>
      <c r="G30" s="55" t="str">
        <f t="shared" si="6"/>
        <v/>
      </c>
      <c r="H30" s="55" t="str">
        <f t="shared" si="7"/>
        <v/>
      </c>
      <c r="I30" s="56" t="str">
        <f t="shared" si="8"/>
        <v/>
      </c>
    </row>
    <row r="31" spans="1:9" s="34" customFormat="1" ht="12.5" x14ac:dyDescent="0.25">
      <c r="A31" s="35"/>
      <c r="B31" s="36"/>
      <c r="C31" s="37"/>
      <c r="D31" s="53" t="str">
        <f t="shared" si="0"/>
        <v/>
      </c>
      <c r="E31" s="54" t="str">
        <f t="shared" si="4"/>
        <v/>
      </c>
      <c r="F31" s="54" t="str">
        <f t="shared" si="5"/>
        <v/>
      </c>
      <c r="G31" s="55" t="str">
        <f t="shared" si="6"/>
        <v/>
      </c>
      <c r="H31" s="55" t="str">
        <f t="shared" si="7"/>
        <v/>
      </c>
      <c r="I31" s="56" t="str">
        <f t="shared" si="8"/>
        <v/>
      </c>
    </row>
    <row r="32" spans="1:9" s="34" customFormat="1" ht="12.5" x14ac:dyDescent="0.25">
      <c r="A32" s="35"/>
      <c r="B32" s="36"/>
      <c r="C32" s="37"/>
      <c r="D32" s="53" t="str">
        <f t="shared" si="0"/>
        <v/>
      </c>
      <c r="E32" s="54" t="str">
        <f t="shared" si="4"/>
        <v/>
      </c>
      <c r="F32" s="54" t="str">
        <f t="shared" si="5"/>
        <v/>
      </c>
      <c r="G32" s="55" t="str">
        <f t="shared" si="6"/>
        <v/>
      </c>
      <c r="H32" s="55" t="str">
        <f t="shared" si="7"/>
        <v/>
      </c>
      <c r="I32" s="56" t="str">
        <f t="shared" si="8"/>
        <v/>
      </c>
    </row>
    <row r="33" spans="1:9" s="34" customFormat="1" ht="12.5" x14ac:dyDescent="0.25">
      <c r="A33" s="35"/>
      <c r="B33" s="36"/>
      <c r="C33" s="37"/>
      <c r="D33" s="53" t="str">
        <f t="shared" si="0"/>
        <v/>
      </c>
      <c r="E33" s="54" t="str">
        <f t="shared" si="4"/>
        <v/>
      </c>
      <c r="F33" s="54" t="str">
        <f t="shared" si="5"/>
        <v/>
      </c>
      <c r="G33" s="55" t="str">
        <f t="shared" si="6"/>
        <v/>
      </c>
      <c r="H33" s="55" t="str">
        <f t="shared" si="7"/>
        <v/>
      </c>
      <c r="I33" s="56" t="str">
        <f t="shared" si="8"/>
        <v/>
      </c>
    </row>
    <row r="34" spans="1:9" s="34" customFormat="1" ht="12.5" x14ac:dyDescent="0.25">
      <c r="A34" s="35"/>
      <c r="B34" s="36"/>
      <c r="C34" s="37"/>
      <c r="D34" s="53" t="str">
        <f t="shared" si="0"/>
        <v/>
      </c>
      <c r="E34" s="54" t="str">
        <f t="shared" si="4"/>
        <v/>
      </c>
      <c r="F34" s="54" t="str">
        <f t="shared" si="5"/>
        <v/>
      </c>
      <c r="G34" s="55" t="str">
        <f t="shared" si="6"/>
        <v/>
      </c>
      <c r="H34" s="55" t="str">
        <f t="shared" si="7"/>
        <v/>
      </c>
      <c r="I34" s="56" t="str">
        <f t="shared" si="8"/>
        <v/>
      </c>
    </row>
    <row r="35" spans="1:9" s="34" customFormat="1" ht="12.5" x14ac:dyDescent="0.25">
      <c r="A35" s="35"/>
      <c r="B35" s="36"/>
      <c r="C35" s="37"/>
      <c r="D35" s="53" t="str">
        <f t="shared" si="0"/>
        <v/>
      </c>
      <c r="E35" s="54" t="str">
        <f t="shared" si="4"/>
        <v/>
      </c>
      <c r="F35" s="54" t="str">
        <f t="shared" si="5"/>
        <v/>
      </c>
      <c r="G35" s="55" t="str">
        <f t="shared" si="6"/>
        <v/>
      </c>
      <c r="H35" s="55" t="str">
        <f t="shared" si="7"/>
        <v/>
      </c>
      <c r="I35" s="56" t="str">
        <f t="shared" si="8"/>
        <v/>
      </c>
    </row>
    <row r="36" spans="1:9" s="34" customFormat="1" ht="12.5" x14ac:dyDescent="0.25">
      <c r="A36" s="35"/>
      <c r="B36" s="36"/>
      <c r="C36" s="37"/>
      <c r="D36" s="53" t="str">
        <f t="shared" si="0"/>
        <v/>
      </c>
      <c r="E36" s="54" t="str">
        <f t="shared" si="4"/>
        <v/>
      </c>
      <c r="F36" s="54" t="str">
        <f t="shared" si="5"/>
        <v/>
      </c>
      <c r="G36" s="55" t="str">
        <f t="shared" si="6"/>
        <v/>
      </c>
      <c r="H36" s="55" t="str">
        <f t="shared" si="7"/>
        <v/>
      </c>
      <c r="I36" s="56" t="str">
        <f t="shared" si="8"/>
        <v/>
      </c>
    </row>
    <row r="37" spans="1:9" s="34" customFormat="1" ht="12.5" x14ac:dyDescent="0.25">
      <c r="A37" s="35"/>
      <c r="B37" s="36"/>
      <c r="C37" s="37"/>
      <c r="D37" s="53" t="str">
        <f t="shared" si="0"/>
        <v/>
      </c>
      <c r="E37" s="54" t="str">
        <f t="shared" si="4"/>
        <v/>
      </c>
      <c r="F37" s="54" t="str">
        <f t="shared" si="5"/>
        <v/>
      </c>
      <c r="G37" s="55" t="str">
        <f t="shared" si="6"/>
        <v/>
      </c>
      <c r="H37" s="55" t="str">
        <f t="shared" si="7"/>
        <v/>
      </c>
      <c r="I37" s="56" t="str">
        <f t="shared" si="8"/>
        <v/>
      </c>
    </row>
    <row r="38" spans="1:9" s="34" customFormat="1" ht="12.5" x14ac:dyDescent="0.25">
      <c r="A38" s="35"/>
      <c r="B38" s="36"/>
      <c r="C38" s="37"/>
      <c r="D38" s="53" t="str">
        <f t="shared" si="0"/>
        <v/>
      </c>
      <c r="E38" s="54" t="str">
        <f t="shared" si="4"/>
        <v/>
      </c>
      <c r="F38" s="54" t="str">
        <f t="shared" si="5"/>
        <v/>
      </c>
      <c r="G38" s="55" t="str">
        <f t="shared" si="6"/>
        <v/>
      </c>
      <c r="H38" s="55" t="str">
        <f t="shared" si="7"/>
        <v/>
      </c>
      <c r="I38" s="56" t="str">
        <f t="shared" si="8"/>
        <v/>
      </c>
    </row>
    <row r="39" spans="1:9" s="34" customFormat="1" ht="12.5" x14ac:dyDescent="0.25">
      <c r="A39" s="35"/>
      <c r="B39" s="36"/>
      <c r="C39" s="37"/>
      <c r="D39" s="53" t="str">
        <f t="shared" si="0"/>
        <v/>
      </c>
      <c r="E39" s="54" t="str">
        <f t="shared" si="4"/>
        <v/>
      </c>
      <c r="F39" s="54" t="str">
        <f t="shared" si="5"/>
        <v/>
      </c>
      <c r="G39" s="55" t="str">
        <f t="shared" si="6"/>
        <v/>
      </c>
      <c r="H39" s="55" t="str">
        <f t="shared" si="7"/>
        <v/>
      </c>
      <c r="I39" s="56" t="str">
        <f t="shared" si="8"/>
        <v/>
      </c>
    </row>
    <row r="40" spans="1:9" s="34" customFormat="1" ht="12.5" x14ac:dyDescent="0.25">
      <c r="A40" s="35"/>
      <c r="B40" s="36"/>
      <c r="C40" s="37"/>
      <c r="D40" s="53" t="str">
        <f t="shared" si="0"/>
        <v/>
      </c>
      <c r="E40" s="54" t="str">
        <f t="shared" si="4"/>
        <v/>
      </c>
      <c r="F40" s="54" t="str">
        <f t="shared" si="5"/>
        <v/>
      </c>
      <c r="G40" s="55" t="str">
        <f t="shared" si="6"/>
        <v/>
      </c>
      <c r="H40" s="55" t="str">
        <f t="shared" si="7"/>
        <v/>
      </c>
      <c r="I40" s="56" t="str">
        <f t="shared" si="8"/>
        <v/>
      </c>
    </row>
    <row r="41" spans="1:9" s="34" customFormat="1" ht="12.5" x14ac:dyDescent="0.25">
      <c r="A41" s="35"/>
      <c r="B41" s="36"/>
      <c r="C41" s="37"/>
      <c r="D41" s="53" t="str">
        <f t="shared" si="0"/>
        <v/>
      </c>
      <c r="E41" s="54" t="str">
        <f t="shared" si="4"/>
        <v/>
      </c>
      <c r="F41" s="54" t="str">
        <f t="shared" si="5"/>
        <v/>
      </c>
      <c r="G41" s="55" t="str">
        <f t="shared" si="6"/>
        <v/>
      </c>
      <c r="H41" s="55" t="str">
        <f t="shared" si="7"/>
        <v/>
      </c>
      <c r="I41" s="56" t="str">
        <f t="shared" si="8"/>
        <v/>
      </c>
    </row>
    <row r="42" spans="1:9" s="34" customFormat="1" ht="12.5" x14ac:dyDescent="0.25">
      <c r="A42" s="35"/>
      <c r="B42" s="36"/>
      <c r="C42" s="37"/>
      <c r="D42" s="53" t="str">
        <f t="shared" si="0"/>
        <v/>
      </c>
      <c r="E42" s="54" t="str">
        <f t="shared" si="4"/>
        <v/>
      </c>
      <c r="F42" s="54" t="str">
        <f t="shared" si="5"/>
        <v/>
      </c>
      <c r="G42" s="55" t="str">
        <f t="shared" si="6"/>
        <v/>
      </c>
      <c r="H42" s="55" t="str">
        <f t="shared" si="7"/>
        <v/>
      </c>
      <c r="I42" s="56" t="str">
        <f t="shared" si="8"/>
        <v/>
      </c>
    </row>
    <row r="43" spans="1:9" s="34" customFormat="1" ht="12.5" x14ac:dyDescent="0.25">
      <c r="A43" s="35"/>
      <c r="B43" s="36"/>
      <c r="C43" s="37"/>
      <c r="D43" s="53" t="str">
        <f t="shared" si="0"/>
        <v/>
      </c>
      <c r="E43" s="54" t="str">
        <f t="shared" si="4"/>
        <v/>
      </c>
      <c r="F43" s="54" t="str">
        <f t="shared" si="5"/>
        <v/>
      </c>
      <c r="G43" s="55" t="str">
        <f t="shared" si="6"/>
        <v/>
      </c>
      <c r="H43" s="55" t="str">
        <f t="shared" si="7"/>
        <v/>
      </c>
      <c r="I43" s="56" t="str">
        <f t="shared" si="8"/>
        <v/>
      </c>
    </row>
    <row r="44" spans="1:9" s="34" customFormat="1" ht="12.5" x14ac:dyDescent="0.25">
      <c r="A44" s="35"/>
      <c r="B44" s="36"/>
      <c r="C44" s="37"/>
      <c r="D44" s="53" t="str">
        <f t="shared" si="0"/>
        <v/>
      </c>
      <c r="E44" s="54" t="str">
        <f t="shared" si="4"/>
        <v/>
      </c>
      <c r="F44" s="54" t="str">
        <f t="shared" si="5"/>
        <v/>
      </c>
      <c r="G44" s="55" t="str">
        <f t="shared" si="6"/>
        <v/>
      </c>
      <c r="H44" s="55" t="str">
        <f t="shared" si="7"/>
        <v/>
      </c>
      <c r="I44" s="56" t="str">
        <f t="shared" si="8"/>
        <v/>
      </c>
    </row>
    <row r="45" spans="1:9" s="34" customFormat="1" ht="12.5" x14ac:dyDescent="0.25">
      <c r="A45" s="35"/>
      <c r="B45" s="36"/>
      <c r="C45" s="37"/>
      <c r="D45" s="53" t="str">
        <f t="shared" si="0"/>
        <v/>
      </c>
      <c r="E45" s="54" t="str">
        <f t="shared" si="4"/>
        <v/>
      </c>
      <c r="F45" s="54" t="str">
        <f t="shared" si="5"/>
        <v/>
      </c>
      <c r="G45" s="55" t="str">
        <f t="shared" si="6"/>
        <v/>
      </c>
      <c r="H45" s="55" t="str">
        <f t="shared" si="7"/>
        <v/>
      </c>
      <c r="I45" s="56" t="str">
        <f t="shared" si="8"/>
        <v/>
      </c>
    </row>
    <row r="46" spans="1:9" s="34" customFormat="1" ht="12.5" x14ac:dyDescent="0.25">
      <c r="A46" s="35"/>
      <c r="B46" s="36"/>
      <c r="C46" s="37"/>
      <c r="D46" s="53" t="str">
        <f t="shared" si="0"/>
        <v/>
      </c>
      <c r="E46" s="54" t="str">
        <f t="shared" si="4"/>
        <v/>
      </c>
      <c r="F46" s="54" t="str">
        <f t="shared" si="5"/>
        <v/>
      </c>
      <c r="G46" s="55" t="str">
        <f t="shared" si="6"/>
        <v/>
      </c>
      <c r="H46" s="55" t="str">
        <f t="shared" si="7"/>
        <v/>
      </c>
      <c r="I46" s="56" t="str">
        <f t="shared" si="8"/>
        <v/>
      </c>
    </row>
    <row r="47" spans="1:9" s="34" customFormat="1" ht="12.5" x14ac:dyDescent="0.25">
      <c r="A47" s="35"/>
      <c r="B47" s="36"/>
      <c r="C47" s="37"/>
      <c r="D47" s="53" t="str">
        <f t="shared" si="0"/>
        <v/>
      </c>
      <c r="E47" s="54" t="str">
        <f t="shared" si="4"/>
        <v/>
      </c>
      <c r="F47" s="54" t="str">
        <f t="shared" si="5"/>
        <v/>
      </c>
      <c r="G47" s="55" t="str">
        <f t="shared" si="6"/>
        <v/>
      </c>
      <c r="H47" s="55" t="str">
        <f t="shared" si="7"/>
        <v/>
      </c>
      <c r="I47" s="56" t="str">
        <f t="shared" si="8"/>
        <v/>
      </c>
    </row>
    <row r="48" spans="1:9" s="34" customFormat="1" ht="12.5" x14ac:dyDescent="0.25">
      <c r="A48" s="35"/>
      <c r="B48" s="36"/>
      <c r="C48" s="37"/>
      <c r="D48" s="53" t="str">
        <f t="shared" si="0"/>
        <v/>
      </c>
      <c r="E48" s="54" t="str">
        <f t="shared" si="4"/>
        <v/>
      </c>
      <c r="F48" s="54" t="str">
        <f t="shared" si="5"/>
        <v/>
      </c>
      <c r="G48" s="55" t="str">
        <f t="shared" si="6"/>
        <v/>
      </c>
      <c r="H48" s="55" t="str">
        <f t="shared" si="7"/>
        <v/>
      </c>
      <c r="I48" s="56" t="str">
        <f t="shared" si="8"/>
        <v/>
      </c>
    </row>
    <row r="49" spans="1:9" s="34" customFormat="1" ht="12.5" x14ac:dyDescent="0.25">
      <c r="A49" s="35"/>
      <c r="B49" s="36"/>
      <c r="C49" s="37"/>
      <c r="D49" s="53" t="str">
        <f t="shared" si="0"/>
        <v/>
      </c>
      <c r="E49" s="54" t="str">
        <f t="shared" si="4"/>
        <v/>
      </c>
      <c r="F49" s="54" t="str">
        <f t="shared" si="5"/>
        <v/>
      </c>
      <c r="G49" s="55" t="str">
        <f t="shared" si="6"/>
        <v/>
      </c>
      <c r="H49" s="55" t="str">
        <f t="shared" si="7"/>
        <v/>
      </c>
      <c r="I49" s="56" t="str">
        <f t="shared" si="8"/>
        <v/>
      </c>
    </row>
    <row r="50" spans="1:9" s="34" customFormat="1" ht="12.5" x14ac:dyDescent="0.25">
      <c r="A50" s="35"/>
      <c r="B50" s="36"/>
      <c r="C50" s="37"/>
      <c r="D50" s="53" t="str">
        <f t="shared" si="0"/>
        <v/>
      </c>
      <c r="E50" s="54" t="str">
        <f t="shared" si="4"/>
        <v/>
      </c>
      <c r="F50" s="54" t="str">
        <f t="shared" si="5"/>
        <v/>
      </c>
      <c r="G50" s="55" t="str">
        <f t="shared" si="6"/>
        <v/>
      </c>
      <c r="H50" s="55" t="str">
        <f t="shared" si="7"/>
        <v/>
      </c>
      <c r="I50" s="56" t="str">
        <f t="shared" si="8"/>
        <v/>
      </c>
    </row>
    <row r="51" spans="1:9" s="34" customFormat="1" ht="12.5" x14ac:dyDescent="0.25">
      <c r="A51" s="35"/>
      <c r="B51" s="36"/>
      <c r="C51" s="37"/>
      <c r="D51" s="53" t="str">
        <f t="shared" si="0"/>
        <v/>
      </c>
      <c r="E51" s="54" t="str">
        <f t="shared" si="4"/>
        <v/>
      </c>
      <c r="F51" s="54" t="str">
        <f t="shared" si="5"/>
        <v/>
      </c>
      <c r="G51" s="55" t="str">
        <f t="shared" si="6"/>
        <v/>
      </c>
      <c r="H51" s="55" t="str">
        <f t="shared" si="7"/>
        <v/>
      </c>
      <c r="I51" s="56" t="str">
        <f t="shared" si="8"/>
        <v/>
      </c>
    </row>
    <row r="52" spans="1:9" s="34" customFormat="1" ht="12.5" x14ac:dyDescent="0.25">
      <c r="A52" s="35"/>
      <c r="B52" s="36"/>
      <c r="C52" s="37"/>
      <c r="D52" s="53" t="str">
        <f t="shared" si="0"/>
        <v/>
      </c>
      <c r="E52" s="54" t="str">
        <f t="shared" si="4"/>
        <v/>
      </c>
      <c r="F52" s="54" t="str">
        <f t="shared" si="5"/>
        <v/>
      </c>
      <c r="G52" s="55" t="str">
        <f t="shared" si="6"/>
        <v/>
      </c>
      <c r="H52" s="55" t="str">
        <f t="shared" si="7"/>
        <v/>
      </c>
      <c r="I52" s="56" t="str">
        <f t="shared" si="8"/>
        <v/>
      </c>
    </row>
    <row r="53" spans="1:9" s="34" customFormat="1" ht="12.5" x14ac:dyDescent="0.25">
      <c r="A53" s="35"/>
      <c r="B53" s="36"/>
      <c r="C53" s="37"/>
      <c r="D53" s="53" t="str">
        <f t="shared" si="0"/>
        <v/>
      </c>
      <c r="E53" s="54" t="str">
        <f t="shared" si="4"/>
        <v/>
      </c>
      <c r="F53" s="54" t="str">
        <f t="shared" si="5"/>
        <v/>
      </c>
      <c r="G53" s="55" t="str">
        <f t="shared" si="6"/>
        <v/>
      </c>
      <c r="H53" s="55" t="str">
        <f t="shared" si="7"/>
        <v/>
      </c>
      <c r="I53" s="56" t="str">
        <f t="shared" si="8"/>
        <v/>
      </c>
    </row>
    <row r="54" spans="1:9" s="34" customFormat="1" ht="12.5" x14ac:dyDescent="0.25">
      <c r="A54" s="35"/>
      <c r="B54" s="36"/>
      <c r="C54" s="37"/>
      <c r="D54" s="53" t="str">
        <f t="shared" si="0"/>
        <v/>
      </c>
      <c r="E54" s="54" t="str">
        <f t="shared" si="4"/>
        <v/>
      </c>
      <c r="F54" s="54" t="str">
        <f t="shared" si="5"/>
        <v/>
      </c>
      <c r="G54" s="55" t="str">
        <f t="shared" si="6"/>
        <v/>
      </c>
      <c r="H54" s="55" t="str">
        <f t="shared" si="7"/>
        <v/>
      </c>
      <c r="I54" s="56" t="str">
        <f t="shared" si="8"/>
        <v/>
      </c>
    </row>
    <row r="55" spans="1:9" s="34" customFormat="1" ht="12.5" x14ac:dyDescent="0.25">
      <c r="A55" s="35"/>
      <c r="B55" s="36"/>
      <c r="C55" s="37"/>
      <c r="D55" s="53" t="str">
        <f t="shared" si="0"/>
        <v/>
      </c>
      <c r="E55" s="54" t="str">
        <f t="shared" si="4"/>
        <v/>
      </c>
      <c r="F55" s="54" t="str">
        <f t="shared" si="5"/>
        <v/>
      </c>
      <c r="G55" s="55" t="str">
        <f t="shared" si="6"/>
        <v/>
      </c>
      <c r="H55" s="55" t="str">
        <f t="shared" si="7"/>
        <v/>
      </c>
      <c r="I55" s="56" t="str">
        <f t="shared" si="8"/>
        <v/>
      </c>
    </row>
    <row r="56" spans="1:9" s="34" customFormat="1" ht="12.5" x14ac:dyDescent="0.25">
      <c r="A56" s="35"/>
      <c r="B56" s="36"/>
      <c r="C56" s="37"/>
      <c r="D56" s="53" t="str">
        <f t="shared" si="0"/>
        <v/>
      </c>
      <c r="E56" s="54" t="str">
        <f t="shared" si="4"/>
        <v/>
      </c>
      <c r="F56" s="54" t="str">
        <f t="shared" si="5"/>
        <v/>
      </c>
      <c r="G56" s="55" t="str">
        <f t="shared" si="6"/>
        <v/>
      </c>
      <c r="H56" s="55" t="str">
        <f t="shared" si="7"/>
        <v/>
      </c>
      <c r="I56" s="56" t="str">
        <f t="shared" si="8"/>
        <v/>
      </c>
    </row>
    <row r="57" spans="1:9" s="34" customFormat="1" ht="12.5" x14ac:dyDescent="0.25">
      <c r="A57" s="35"/>
      <c r="B57" s="36"/>
      <c r="C57" s="37"/>
      <c r="D57" s="53" t="str">
        <f t="shared" si="0"/>
        <v/>
      </c>
      <c r="E57" s="54" t="str">
        <f t="shared" si="4"/>
        <v/>
      </c>
      <c r="F57" s="54" t="str">
        <f t="shared" si="5"/>
        <v/>
      </c>
      <c r="G57" s="55" t="str">
        <f t="shared" si="6"/>
        <v/>
      </c>
      <c r="H57" s="55" t="str">
        <f t="shared" si="7"/>
        <v/>
      </c>
      <c r="I57" s="56" t="str">
        <f t="shared" si="8"/>
        <v/>
      </c>
    </row>
    <row r="58" spans="1:9" s="34" customFormat="1" ht="12.5" x14ac:dyDescent="0.25">
      <c r="A58" s="35"/>
      <c r="B58" s="36"/>
      <c r="C58" s="37"/>
      <c r="D58" s="53" t="str">
        <f t="shared" si="0"/>
        <v/>
      </c>
      <c r="E58" s="54" t="str">
        <f t="shared" si="4"/>
        <v/>
      </c>
      <c r="F58" s="54" t="str">
        <f t="shared" si="5"/>
        <v/>
      </c>
      <c r="G58" s="55" t="str">
        <f t="shared" si="6"/>
        <v/>
      </c>
      <c r="H58" s="55" t="str">
        <f t="shared" si="7"/>
        <v/>
      </c>
      <c r="I58" s="56" t="str">
        <f t="shared" si="8"/>
        <v/>
      </c>
    </row>
    <row r="59" spans="1:9" s="34" customFormat="1" ht="12.5" x14ac:dyDescent="0.25">
      <c r="A59" s="35"/>
      <c r="B59" s="36"/>
      <c r="C59" s="37"/>
      <c r="D59" s="53" t="str">
        <f t="shared" si="0"/>
        <v/>
      </c>
      <c r="E59" s="54" t="str">
        <f t="shared" si="4"/>
        <v/>
      </c>
      <c r="F59" s="54" t="str">
        <f t="shared" si="5"/>
        <v/>
      </c>
      <c r="G59" s="55" t="str">
        <f t="shared" si="6"/>
        <v/>
      </c>
      <c r="H59" s="55" t="str">
        <f t="shared" si="7"/>
        <v/>
      </c>
      <c r="I59" s="56" t="str">
        <f t="shared" si="8"/>
        <v/>
      </c>
    </row>
    <row r="60" spans="1:9" s="34" customFormat="1" ht="12.5" x14ac:dyDescent="0.25">
      <c r="A60" s="35"/>
      <c r="B60" s="36"/>
      <c r="C60" s="37"/>
      <c r="D60" s="53" t="str">
        <f t="shared" si="0"/>
        <v/>
      </c>
      <c r="E60" s="54" t="str">
        <f t="shared" si="4"/>
        <v/>
      </c>
      <c r="F60" s="54" t="str">
        <f t="shared" si="5"/>
        <v/>
      </c>
      <c r="G60" s="55" t="str">
        <f t="shared" si="6"/>
        <v/>
      </c>
      <c r="H60" s="55" t="str">
        <f t="shared" si="7"/>
        <v/>
      </c>
      <c r="I60" s="56" t="str">
        <f t="shared" si="8"/>
        <v/>
      </c>
    </row>
    <row r="61" spans="1:9" s="34" customFormat="1" ht="12.5" x14ac:dyDescent="0.25">
      <c r="A61" s="35"/>
      <c r="B61" s="36"/>
      <c r="C61" s="37"/>
      <c r="D61" s="53" t="str">
        <f t="shared" si="0"/>
        <v/>
      </c>
      <c r="E61" s="54" t="str">
        <f t="shared" si="4"/>
        <v/>
      </c>
      <c r="F61" s="54" t="str">
        <f t="shared" si="5"/>
        <v/>
      </c>
      <c r="G61" s="55" t="str">
        <f t="shared" si="6"/>
        <v/>
      </c>
      <c r="H61" s="55" t="str">
        <f t="shared" si="7"/>
        <v/>
      </c>
      <c r="I61" s="56" t="str">
        <f t="shared" si="8"/>
        <v/>
      </c>
    </row>
    <row r="62" spans="1:9" s="34" customFormat="1" ht="12.5" x14ac:dyDescent="0.25">
      <c r="A62" s="35"/>
      <c r="B62" s="36"/>
      <c r="C62" s="37"/>
      <c r="D62" s="53" t="str">
        <f t="shared" si="0"/>
        <v/>
      </c>
      <c r="E62" s="54" t="str">
        <f t="shared" si="4"/>
        <v/>
      </c>
      <c r="F62" s="54" t="str">
        <f t="shared" si="5"/>
        <v/>
      </c>
      <c r="G62" s="55" t="str">
        <f t="shared" si="6"/>
        <v/>
      </c>
      <c r="H62" s="55" t="str">
        <f t="shared" si="7"/>
        <v/>
      </c>
      <c r="I62" s="56" t="str">
        <f t="shared" si="8"/>
        <v/>
      </c>
    </row>
    <row r="63" spans="1:9" s="34" customFormat="1" ht="12.5" x14ac:dyDescent="0.25">
      <c r="A63" s="35"/>
      <c r="B63" s="36"/>
      <c r="C63" s="37"/>
      <c r="D63" s="53" t="str">
        <f t="shared" si="0"/>
        <v/>
      </c>
      <c r="E63" s="54" t="str">
        <f t="shared" si="4"/>
        <v/>
      </c>
      <c r="F63" s="54" t="str">
        <f t="shared" si="5"/>
        <v/>
      </c>
      <c r="G63" s="55" t="str">
        <f t="shared" si="6"/>
        <v/>
      </c>
      <c r="H63" s="55" t="str">
        <f t="shared" si="7"/>
        <v/>
      </c>
      <c r="I63" s="56" t="str">
        <f t="shared" si="8"/>
        <v/>
      </c>
    </row>
    <row r="64" spans="1:9" s="34" customFormat="1" ht="12.5" x14ac:dyDescent="0.25">
      <c r="A64" s="35"/>
      <c r="B64" s="36"/>
      <c r="C64" s="37"/>
      <c r="D64" s="53" t="str">
        <f t="shared" si="0"/>
        <v/>
      </c>
      <c r="E64" s="54" t="str">
        <f t="shared" si="4"/>
        <v/>
      </c>
      <c r="F64" s="54" t="str">
        <f t="shared" si="5"/>
        <v/>
      </c>
      <c r="G64" s="55" t="str">
        <f t="shared" si="6"/>
        <v/>
      </c>
      <c r="H64" s="55" t="str">
        <f t="shared" si="7"/>
        <v/>
      </c>
      <c r="I64" s="56" t="str">
        <f t="shared" si="8"/>
        <v/>
      </c>
    </row>
    <row r="65" spans="1:9" s="34" customFormat="1" ht="12.5" x14ac:dyDescent="0.25">
      <c r="A65" s="35"/>
      <c r="B65" s="36"/>
      <c r="C65" s="37"/>
      <c r="D65" s="53" t="str">
        <f t="shared" si="0"/>
        <v/>
      </c>
      <c r="E65" s="54" t="str">
        <f t="shared" si="4"/>
        <v/>
      </c>
      <c r="F65" s="54" t="str">
        <f t="shared" si="5"/>
        <v/>
      </c>
      <c r="G65" s="55" t="str">
        <f t="shared" si="6"/>
        <v/>
      </c>
      <c r="H65" s="55" t="str">
        <f t="shared" si="7"/>
        <v/>
      </c>
      <c r="I65" s="56" t="str">
        <f t="shared" si="8"/>
        <v/>
      </c>
    </row>
    <row r="66" spans="1:9" s="34" customFormat="1" ht="12.5" x14ac:dyDescent="0.25">
      <c r="A66" s="35"/>
      <c r="B66" s="36"/>
      <c r="C66" s="37"/>
      <c r="D66" s="53" t="str">
        <f t="shared" si="0"/>
        <v/>
      </c>
      <c r="E66" s="54" t="str">
        <f t="shared" si="4"/>
        <v/>
      </c>
      <c r="F66" s="54" t="str">
        <f t="shared" si="5"/>
        <v/>
      </c>
      <c r="G66" s="55" t="str">
        <f t="shared" si="6"/>
        <v/>
      </c>
      <c r="H66" s="55" t="str">
        <f t="shared" si="7"/>
        <v/>
      </c>
      <c r="I66" s="56" t="str">
        <f t="shared" si="8"/>
        <v/>
      </c>
    </row>
    <row r="67" spans="1:9" s="34" customFormat="1" ht="12.5" x14ac:dyDescent="0.25">
      <c r="A67" s="35"/>
      <c r="B67" s="36"/>
      <c r="C67" s="37"/>
      <c r="D67" s="53" t="str">
        <f t="shared" si="0"/>
        <v/>
      </c>
      <c r="E67" s="54" t="str">
        <f t="shared" si="4"/>
        <v/>
      </c>
      <c r="F67" s="54" t="str">
        <f t="shared" si="5"/>
        <v/>
      </c>
      <c r="G67" s="55" t="str">
        <f t="shared" si="6"/>
        <v/>
      </c>
      <c r="H67" s="55" t="str">
        <f t="shared" si="7"/>
        <v/>
      </c>
      <c r="I67" s="56" t="str">
        <f t="shared" si="8"/>
        <v/>
      </c>
    </row>
    <row r="68" spans="1:9" s="34" customFormat="1" ht="12.5" x14ac:dyDescent="0.25">
      <c r="A68" s="35"/>
      <c r="B68" s="36"/>
      <c r="C68" s="37"/>
      <c r="D68" s="53" t="str">
        <f t="shared" si="0"/>
        <v/>
      </c>
      <c r="E68" s="54" t="str">
        <f t="shared" si="4"/>
        <v/>
      </c>
      <c r="F68" s="54" t="str">
        <f t="shared" si="5"/>
        <v/>
      </c>
      <c r="G68" s="55" t="str">
        <f t="shared" si="6"/>
        <v/>
      </c>
      <c r="H68" s="55" t="str">
        <f t="shared" si="7"/>
        <v/>
      </c>
      <c r="I68" s="56" t="str">
        <f t="shared" si="8"/>
        <v/>
      </c>
    </row>
    <row r="69" spans="1:9" s="34" customFormat="1" ht="12.5" x14ac:dyDescent="0.25">
      <c r="A69" s="35"/>
      <c r="B69" s="36"/>
      <c r="C69" s="37"/>
      <c r="D69" s="53" t="str">
        <f t="shared" si="0"/>
        <v/>
      </c>
      <c r="E69" s="54" t="str">
        <f t="shared" si="4"/>
        <v/>
      </c>
      <c r="F69" s="54" t="str">
        <f t="shared" si="5"/>
        <v/>
      </c>
      <c r="G69" s="55" t="str">
        <f t="shared" si="6"/>
        <v/>
      </c>
      <c r="H69" s="55" t="str">
        <f t="shared" si="7"/>
        <v/>
      </c>
      <c r="I69" s="56" t="str">
        <f t="shared" si="8"/>
        <v/>
      </c>
    </row>
    <row r="70" spans="1:9" s="34" customFormat="1" ht="12.5" x14ac:dyDescent="0.25">
      <c r="A70" s="35"/>
      <c r="B70" s="36"/>
      <c r="C70" s="37"/>
      <c r="D70" s="53" t="str">
        <f t="shared" si="0"/>
        <v/>
      </c>
      <c r="E70" s="54" t="str">
        <f t="shared" si="4"/>
        <v/>
      </c>
      <c r="F70" s="54" t="str">
        <f t="shared" si="5"/>
        <v/>
      </c>
      <c r="G70" s="55" t="str">
        <f t="shared" si="6"/>
        <v/>
      </c>
      <c r="H70" s="55" t="str">
        <f t="shared" si="7"/>
        <v/>
      </c>
      <c r="I70" s="56" t="str">
        <f t="shared" si="8"/>
        <v/>
      </c>
    </row>
    <row r="71" spans="1:9" s="34" customFormat="1" ht="12.5" x14ac:dyDescent="0.25">
      <c r="A71" s="35"/>
      <c r="B71" s="36"/>
      <c r="C71" s="37"/>
      <c r="D71" s="53" t="str">
        <f t="shared" si="0"/>
        <v/>
      </c>
      <c r="E71" s="54" t="str">
        <f t="shared" si="4"/>
        <v/>
      </c>
      <c r="F71" s="54" t="str">
        <f t="shared" si="5"/>
        <v/>
      </c>
      <c r="G71" s="55" t="str">
        <f t="shared" si="6"/>
        <v/>
      </c>
      <c r="H71" s="55" t="str">
        <f t="shared" si="7"/>
        <v/>
      </c>
      <c r="I71" s="56" t="str">
        <f t="shared" si="8"/>
        <v/>
      </c>
    </row>
    <row r="72" spans="1:9" s="34" customFormat="1" ht="12.5" x14ac:dyDescent="0.25">
      <c r="A72" s="35"/>
      <c r="B72" s="36"/>
      <c r="C72" s="37"/>
      <c r="D72" s="53" t="str">
        <f t="shared" si="0"/>
        <v/>
      </c>
      <c r="E72" s="54" t="str">
        <f t="shared" si="4"/>
        <v/>
      </c>
      <c r="F72" s="54" t="str">
        <f t="shared" si="5"/>
        <v/>
      </c>
      <c r="G72" s="55" t="str">
        <f t="shared" si="6"/>
        <v/>
      </c>
      <c r="H72" s="55" t="str">
        <f t="shared" si="7"/>
        <v/>
      </c>
      <c r="I72" s="56" t="str">
        <f t="shared" si="8"/>
        <v/>
      </c>
    </row>
    <row r="73" spans="1:9" s="34" customFormat="1" ht="12.5" x14ac:dyDescent="0.25">
      <c r="A73" s="35"/>
      <c r="B73" s="36"/>
      <c r="C73" s="37"/>
      <c r="D73" s="53" t="str">
        <f t="shared" si="0"/>
        <v/>
      </c>
      <c r="E73" s="54" t="str">
        <f t="shared" si="4"/>
        <v/>
      </c>
      <c r="F73" s="54" t="str">
        <f t="shared" si="5"/>
        <v/>
      </c>
      <c r="G73" s="55" t="str">
        <f t="shared" si="6"/>
        <v/>
      </c>
      <c r="H73" s="55" t="str">
        <f t="shared" si="7"/>
        <v/>
      </c>
      <c r="I73" s="56" t="str">
        <f t="shared" si="8"/>
        <v/>
      </c>
    </row>
    <row r="74" spans="1:9" s="34" customFormat="1" ht="12.5" x14ac:dyDescent="0.25">
      <c r="A74" s="35"/>
      <c r="B74" s="36"/>
      <c r="C74" s="37"/>
      <c r="D74" s="53" t="str">
        <f t="shared" si="0"/>
        <v/>
      </c>
      <c r="E74" s="54" t="str">
        <f t="shared" si="4"/>
        <v/>
      </c>
      <c r="F74" s="54" t="str">
        <f t="shared" si="5"/>
        <v/>
      </c>
      <c r="G74" s="55" t="str">
        <f t="shared" si="6"/>
        <v/>
      </c>
      <c r="H74" s="55" t="str">
        <f t="shared" si="7"/>
        <v/>
      </c>
      <c r="I74" s="56" t="str">
        <f t="shared" si="8"/>
        <v/>
      </c>
    </row>
    <row r="75" spans="1:9" s="34" customFormat="1" ht="12.5" x14ac:dyDescent="0.25">
      <c r="A75" s="35"/>
      <c r="B75" s="36"/>
      <c r="C75" s="37"/>
      <c r="D75" s="53" t="str">
        <f t="shared" si="0"/>
        <v/>
      </c>
      <c r="E75" s="54" t="str">
        <f t="shared" si="4"/>
        <v/>
      </c>
      <c r="F75" s="54" t="str">
        <f t="shared" si="5"/>
        <v/>
      </c>
      <c r="G75" s="55" t="str">
        <f t="shared" si="6"/>
        <v/>
      </c>
      <c r="H75" s="55" t="str">
        <f t="shared" si="7"/>
        <v/>
      </c>
      <c r="I75" s="56" t="str">
        <f t="shared" si="8"/>
        <v/>
      </c>
    </row>
    <row r="76" spans="1:9" s="34" customFormat="1" ht="12.5" x14ac:dyDescent="0.25">
      <c r="A76" s="35"/>
      <c r="B76" s="36"/>
      <c r="C76" s="37"/>
      <c r="D76" s="53" t="str">
        <f t="shared" si="0"/>
        <v/>
      </c>
      <c r="E76" s="54" t="str">
        <f t="shared" si="4"/>
        <v/>
      </c>
      <c r="F76" s="54" t="str">
        <f t="shared" si="5"/>
        <v/>
      </c>
      <c r="G76" s="55" t="str">
        <f t="shared" si="6"/>
        <v/>
      </c>
      <c r="H76" s="55" t="str">
        <f t="shared" si="7"/>
        <v/>
      </c>
      <c r="I76" s="56" t="str">
        <f t="shared" si="8"/>
        <v/>
      </c>
    </row>
    <row r="77" spans="1:9" s="34" customFormat="1" ht="12.5" x14ac:dyDescent="0.25">
      <c r="A77" s="35"/>
      <c r="B77" s="36"/>
      <c r="C77" s="37"/>
      <c r="D77" s="53" t="str">
        <f t="shared" si="0"/>
        <v/>
      </c>
      <c r="E77" s="54" t="str">
        <f t="shared" si="4"/>
        <v/>
      </c>
      <c r="F77" s="54" t="str">
        <f t="shared" si="5"/>
        <v/>
      </c>
      <c r="G77" s="55" t="str">
        <f t="shared" si="6"/>
        <v/>
      </c>
      <c r="H77" s="55" t="str">
        <f t="shared" si="7"/>
        <v/>
      </c>
      <c r="I77" s="56" t="str">
        <f t="shared" si="8"/>
        <v/>
      </c>
    </row>
    <row r="78" spans="1:9" s="34" customFormat="1" ht="12.5" x14ac:dyDescent="0.25">
      <c r="A78" s="35"/>
      <c r="B78" s="36"/>
      <c r="C78" s="37"/>
      <c r="D78" s="53" t="str">
        <f t="shared" si="0"/>
        <v/>
      </c>
      <c r="E78" s="54" t="str">
        <f t="shared" si="4"/>
        <v/>
      </c>
      <c r="F78" s="54" t="str">
        <f t="shared" si="5"/>
        <v/>
      </c>
      <c r="G78" s="55" t="str">
        <f t="shared" si="6"/>
        <v/>
      </c>
      <c r="H78" s="55" t="str">
        <f t="shared" si="7"/>
        <v/>
      </c>
      <c r="I78" s="56" t="str">
        <f t="shared" si="8"/>
        <v/>
      </c>
    </row>
    <row r="79" spans="1:9" s="34" customFormat="1" ht="12.5" x14ac:dyDescent="0.25">
      <c r="A79" s="35"/>
      <c r="B79" s="36"/>
      <c r="C79" s="37"/>
      <c r="D79" s="53" t="str">
        <f t="shared" si="0"/>
        <v/>
      </c>
      <c r="E79" s="54" t="str">
        <f t="shared" si="4"/>
        <v/>
      </c>
      <c r="F79" s="54" t="str">
        <f t="shared" si="5"/>
        <v/>
      </c>
      <c r="G79" s="55" t="str">
        <f t="shared" si="6"/>
        <v/>
      </c>
      <c r="H79" s="55" t="str">
        <f t="shared" si="7"/>
        <v/>
      </c>
      <c r="I79" s="56" t="str">
        <f t="shared" si="8"/>
        <v/>
      </c>
    </row>
    <row r="80" spans="1:9" s="34" customFormat="1" ht="12.5" x14ac:dyDescent="0.25">
      <c r="A80" s="35"/>
      <c r="B80" s="36"/>
      <c r="C80" s="37"/>
      <c r="D80" s="53" t="str">
        <f t="shared" si="0"/>
        <v/>
      </c>
      <c r="E80" s="54" t="str">
        <f t="shared" si="4"/>
        <v/>
      </c>
      <c r="F80" s="54" t="str">
        <f t="shared" si="5"/>
        <v/>
      </c>
      <c r="G80" s="55" t="str">
        <f t="shared" si="6"/>
        <v/>
      </c>
      <c r="H80" s="55" t="str">
        <f t="shared" si="7"/>
        <v/>
      </c>
      <c r="I80" s="56" t="str">
        <f t="shared" si="8"/>
        <v/>
      </c>
    </row>
    <row r="81" spans="1:9" s="34" customFormat="1" ht="12.5" x14ac:dyDescent="0.25">
      <c r="A81" s="35"/>
      <c r="B81" s="36"/>
      <c r="C81" s="37"/>
      <c r="D81" s="53" t="str">
        <f t="shared" si="0"/>
        <v/>
      </c>
      <c r="E81" s="54" t="str">
        <f t="shared" si="4"/>
        <v/>
      </c>
      <c r="F81" s="54" t="str">
        <f t="shared" si="5"/>
        <v/>
      </c>
      <c r="G81" s="55" t="str">
        <f t="shared" si="6"/>
        <v/>
      </c>
      <c r="H81" s="55" t="str">
        <f t="shared" si="7"/>
        <v/>
      </c>
      <c r="I81" s="56" t="str">
        <f t="shared" si="8"/>
        <v/>
      </c>
    </row>
    <row r="82" spans="1:9" s="34" customFormat="1" ht="12.5" x14ac:dyDescent="0.25">
      <c r="A82" s="35"/>
      <c r="B82" s="36"/>
      <c r="C82" s="37"/>
      <c r="D82" s="53" t="str">
        <f t="shared" ref="D82:D145" si="9">IF(OR(A82="",B82=""),"",MAX(0,B82-A82))</f>
        <v/>
      </c>
      <c r="E82" s="54" t="str">
        <f t="shared" si="4"/>
        <v/>
      </c>
      <c r="F82" s="54" t="str">
        <f t="shared" si="5"/>
        <v/>
      </c>
      <c r="G82" s="55" t="str">
        <f t="shared" si="6"/>
        <v/>
      </c>
      <c r="H82" s="55" t="str">
        <f t="shared" si="7"/>
        <v/>
      </c>
      <c r="I82" s="56" t="str">
        <f t="shared" si="8"/>
        <v/>
      </c>
    </row>
    <row r="83" spans="1:9" s="34" customFormat="1" ht="12.5" x14ac:dyDescent="0.25">
      <c r="A83" s="35"/>
      <c r="B83" s="36"/>
      <c r="C83" s="37"/>
      <c r="D83" s="53" t="str">
        <f t="shared" si="9"/>
        <v/>
      </c>
      <c r="E83" s="54" t="str">
        <f t="shared" ref="E83:E146" si="10">IF(C83="","",I82*$B$8/12)</f>
        <v/>
      </c>
      <c r="F83" s="54" t="str">
        <f t="shared" ref="F83:F146" si="11">IF(C83="","",MAX(0,C83-E83-G83))</f>
        <v/>
      </c>
      <c r="G83" s="55" t="str">
        <f t="shared" ref="G83:G146" si="12">IF(C83="","",IF(D83&gt;0,C83*$B$9,0))</f>
        <v/>
      </c>
      <c r="H83" s="55" t="str">
        <f t="shared" ref="H83:H146" si="13">IF(C83="","",C83+E83+G83)</f>
        <v/>
      </c>
      <c r="I83" s="56" t="str">
        <f t="shared" ref="I83:I146" si="14">IF(C83="","",I82-F83)</f>
        <v/>
      </c>
    </row>
    <row r="84" spans="1:9" s="34" customFormat="1" ht="12.5" x14ac:dyDescent="0.25">
      <c r="A84" s="35"/>
      <c r="B84" s="36"/>
      <c r="C84" s="37"/>
      <c r="D84" s="53" t="str">
        <f t="shared" si="9"/>
        <v/>
      </c>
      <c r="E84" s="54" t="str">
        <f t="shared" si="10"/>
        <v/>
      </c>
      <c r="F84" s="54" t="str">
        <f t="shared" si="11"/>
        <v/>
      </c>
      <c r="G84" s="55" t="str">
        <f t="shared" si="12"/>
        <v/>
      </c>
      <c r="H84" s="55" t="str">
        <f t="shared" si="13"/>
        <v/>
      </c>
      <c r="I84" s="56" t="str">
        <f t="shared" si="14"/>
        <v/>
      </c>
    </row>
    <row r="85" spans="1:9" s="34" customFormat="1" ht="12.5" x14ac:dyDescent="0.25">
      <c r="A85" s="35"/>
      <c r="B85" s="36"/>
      <c r="C85" s="37"/>
      <c r="D85" s="53" t="str">
        <f t="shared" si="9"/>
        <v/>
      </c>
      <c r="E85" s="54" t="str">
        <f t="shared" si="10"/>
        <v/>
      </c>
      <c r="F85" s="54" t="str">
        <f t="shared" si="11"/>
        <v/>
      </c>
      <c r="G85" s="55" t="str">
        <f t="shared" si="12"/>
        <v/>
      </c>
      <c r="H85" s="55" t="str">
        <f t="shared" si="13"/>
        <v/>
      </c>
      <c r="I85" s="56" t="str">
        <f t="shared" si="14"/>
        <v/>
      </c>
    </row>
    <row r="86" spans="1:9" s="34" customFormat="1" ht="12.5" x14ac:dyDescent="0.25">
      <c r="A86" s="35"/>
      <c r="B86" s="36"/>
      <c r="C86" s="37"/>
      <c r="D86" s="53" t="str">
        <f t="shared" si="9"/>
        <v/>
      </c>
      <c r="E86" s="54" t="str">
        <f t="shared" si="10"/>
        <v/>
      </c>
      <c r="F86" s="54" t="str">
        <f t="shared" si="11"/>
        <v/>
      </c>
      <c r="G86" s="55" t="str">
        <f t="shared" si="12"/>
        <v/>
      </c>
      <c r="H86" s="55" t="str">
        <f t="shared" si="13"/>
        <v/>
      </c>
      <c r="I86" s="56" t="str">
        <f t="shared" si="14"/>
        <v/>
      </c>
    </row>
    <row r="87" spans="1:9" s="34" customFormat="1" ht="12.5" x14ac:dyDescent="0.25">
      <c r="A87" s="35"/>
      <c r="B87" s="36"/>
      <c r="C87" s="37"/>
      <c r="D87" s="53" t="str">
        <f t="shared" si="9"/>
        <v/>
      </c>
      <c r="E87" s="54" t="str">
        <f t="shared" si="10"/>
        <v/>
      </c>
      <c r="F87" s="54" t="str">
        <f t="shared" si="11"/>
        <v/>
      </c>
      <c r="G87" s="55" t="str">
        <f t="shared" si="12"/>
        <v/>
      </c>
      <c r="H87" s="55" t="str">
        <f t="shared" si="13"/>
        <v/>
      </c>
      <c r="I87" s="56" t="str">
        <f t="shared" si="14"/>
        <v/>
      </c>
    </row>
    <row r="88" spans="1:9" s="34" customFormat="1" ht="12.5" x14ac:dyDescent="0.25">
      <c r="A88" s="35"/>
      <c r="B88" s="36"/>
      <c r="C88" s="37"/>
      <c r="D88" s="53" t="str">
        <f t="shared" si="9"/>
        <v/>
      </c>
      <c r="E88" s="54" t="str">
        <f t="shared" si="10"/>
        <v/>
      </c>
      <c r="F88" s="54" t="str">
        <f t="shared" si="11"/>
        <v/>
      </c>
      <c r="G88" s="55" t="str">
        <f t="shared" si="12"/>
        <v/>
      </c>
      <c r="H88" s="55" t="str">
        <f t="shared" si="13"/>
        <v/>
      </c>
      <c r="I88" s="56" t="str">
        <f t="shared" si="14"/>
        <v/>
      </c>
    </row>
    <row r="89" spans="1:9" s="34" customFormat="1" ht="12.5" x14ac:dyDescent="0.25">
      <c r="A89" s="35"/>
      <c r="B89" s="36"/>
      <c r="C89" s="37"/>
      <c r="D89" s="53" t="str">
        <f t="shared" si="9"/>
        <v/>
      </c>
      <c r="E89" s="54" t="str">
        <f t="shared" si="10"/>
        <v/>
      </c>
      <c r="F89" s="54" t="str">
        <f t="shared" si="11"/>
        <v/>
      </c>
      <c r="G89" s="55" t="str">
        <f t="shared" si="12"/>
        <v/>
      </c>
      <c r="H89" s="55" t="str">
        <f t="shared" si="13"/>
        <v/>
      </c>
      <c r="I89" s="56" t="str">
        <f t="shared" si="14"/>
        <v/>
      </c>
    </row>
    <row r="90" spans="1:9" s="34" customFormat="1" ht="12.5" x14ac:dyDescent="0.25">
      <c r="A90" s="35"/>
      <c r="B90" s="36"/>
      <c r="C90" s="37"/>
      <c r="D90" s="53" t="str">
        <f t="shared" si="9"/>
        <v/>
      </c>
      <c r="E90" s="54" t="str">
        <f t="shared" si="10"/>
        <v/>
      </c>
      <c r="F90" s="54" t="str">
        <f t="shared" si="11"/>
        <v/>
      </c>
      <c r="G90" s="55" t="str">
        <f t="shared" si="12"/>
        <v/>
      </c>
      <c r="H90" s="55" t="str">
        <f t="shared" si="13"/>
        <v/>
      </c>
      <c r="I90" s="56" t="str">
        <f t="shared" si="14"/>
        <v/>
      </c>
    </row>
    <row r="91" spans="1:9" s="34" customFormat="1" ht="12.5" x14ac:dyDescent="0.25">
      <c r="A91" s="35"/>
      <c r="B91" s="36"/>
      <c r="C91" s="37"/>
      <c r="D91" s="53" t="str">
        <f t="shared" si="9"/>
        <v/>
      </c>
      <c r="E91" s="54" t="str">
        <f t="shared" si="10"/>
        <v/>
      </c>
      <c r="F91" s="54" t="str">
        <f t="shared" si="11"/>
        <v/>
      </c>
      <c r="G91" s="55" t="str">
        <f t="shared" si="12"/>
        <v/>
      </c>
      <c r="H91" s="55" t="str">
        <f t="shared" si="13"/>
        <v/>
      </c>
      <c r="I91" s="56" t="str">
        <f t="shared" si="14"/>
        <v/>
      </c>
    </row>
    <row r="92" spans="1:9" s="34" customFormat="1" ht="12.5" x14ac:dyDescent="0.25">
      <c r="A92" s="35"/>
      <c r="B92" s="36"/>
      <c r="C92" s="37"/>
      <c r="D92" s="53" t="str">
        <f t="shared" si="9"/>
        <v/>
      </c>
      <c r="E92" s="54" t="str">
        <f t="shared" si="10"/>
        <v/>
      </c>
      <c r="F92" s="54" t="str">
        <f t="shared" si="11"/>
        <v/>
      </c>
      <c r="G92" s="55" t="str">
        <f t="shared" si="12"/>
        <v/>
      </c>
      <c r="H92" s="55" t="str">
        <f t="shared" si="13"/>
        <v/>
      </c>
      <c r="I92" s="56" t="str">
        <f t="shared" si="14"/>
        <v/>
      </c>
    </row>
    <row r="93" spans="1:9" s="34" customFormat="1" ht="12.5" x14ac:dyDescent="0.25">
      <c r="A93" s="35"/>
      <c r="B93" s="36"/>
      <c r="C93" s="37"/>
      <c r="D93" s="53" t="str">
        <f t="shared" si="9"/>
        <v/>
      </c>
      <c r="E93" s="54" t="str">
        <f t="shared" si="10"/>
        <v/>
      </c>
      <c r="F93" s="54" t="str">
        <f t="shared" si="11"/>
        <v/>
      </c>
      <c r="G93" s="55" t="str">
        <f t="shared" si="12"/>
        <v/>
      </c>
      <c r="H93" s="55" t="str">
        <f t="shared" si="13"/>
        <v/>
      </c>
      <c r="I93" s="56" t="str">
        <f t="shared" si="14"/>
        <v/>
      </c>
    </row>
    <row r="94" spans="1:9" s="34" customFormat="1" ht="12.5" x14ac:dyDescent="0.25">
      <c r="A94" s="35"/>
      <c r="B94" s="36"/>
      <c r="C94" s="37"/>
      <c r="D94" s="53" t="str">
        <f t="shared" si="9"/>
        <v/>
      </c>
      <c r="E94" s="54" t="str">
        <f t="shared" si="10"/>
        <v/>
      </c>
      <c r="F94" s="54" t="str">
        <f t="shared" si="11"/>
        <v/>
      </c>
      <c r="G94" s="55" t="str">
        <f t="shared" si="12"/>
        <v/>
      </c>
      <c r="H94" s="55" t="str">
        <f t="shared" si="13"/>
        <v/>
      </c>
      <c r="I94" s="56" t="str">
        <f t="shared" si="14"/>
        <v/>
      </c>
    </row>
    <row r="95" spans="1:9" s="34" customFormat="1" ht="12.5" x14ac:dyDescent="0.25">
      <c r="A95" s="35"/>
      <c r="B95" s="36"/>
      <c r="C95" s="37"/>
      <c r="D95" s="53" t="str">
        <f t="shared" si="9"/>
        <v/>
      </c>
      <c r="E95" s="54" t="str">
        <f t="shared" si="10"/>
        <v/>
      </c>
      <c r="F95" s="54" t="str">
        <f t="shared" si="11"/>
        <v/>
      </c>
      <c r="G95" s="55" t="str">
        <f t="shared" si="12"/>
        <v/>
      </c>
      <c r="H95" s="55" t="str">
        <f t="shared" si="13"/>
        <v/>
      </c>
      <c r="I95" s="56" t="str">
        <f t="shared" si="14"/>
        <v/>
      </c>
    </row>
    <row r="96" spans="1:9" s="34" customFormat="1" ht="12.5" x14ac:dyDescent="0.25">
      <c r="A96" s="35"/>
      <c r="B96" s="36"/>
      <c r="C96" s="37"/>
      <c r="D96" s="53" t="str">
        <f t="shared" si="9"/>
        <v/>
      </c>
      <c r="E96" s="54" t="str">
        <f t="shared" si="10"/>
        <v/>
      </c>
      <c r="F96" s="54" t="str">
        <f t="shared" si="11"/>
        <v/>
      </c>
      <c r="G96" s="55" t="str">
        <f t="shared" si="12"/>
        <v/>
      </c>
      <c r="H96" s="55" t="str">
        <f t="shared" si="13"/>
        <v/>
      </c>
      <c r="I96" s="56" t="str">
        <f t="shared" si="14"/>
        <v/>
      </c>
    </row>
    <row r="97" spans="1:9" s="34" customFormat="1" ht="12.5" x14ac:dyDescent="0.25">
      <c r="A97" s="35"/>
      <c r="B97" s="36"/>
      <c r="C97" s="37"/>
      <c r="D97" s="53" t="str">
        <f t="shared" si="9"/>
        <v/>
      </c>
      <c r="E97" s="54" t="str">
        <f t="shared" si="10"/>
        <v/>
      </c>
      <c r="F97" s="54" t="str">
        <f t="shared" si="11"/>
        <v/>
      </c>
      <c r="G97" s="55" t="str">
        <f t="shared" si="12"/>
        <v/>
      </c>
      <c r="H97" s="55" t="str">
        <f t="shared" si="13"/>
        <v/>
      </c>
      <c r="I97" s="56" t="str">
        <f t="shared" si="14"/>
        <v/>
      </c>
    </row>
    <row r="98" spans="1:9" s="34" customFormat="1" ht="12.5" x14ac:dyDescent="0.25">
      <c r="A98" s="35"/>
      <c r="B98" s="36"/>
      <c r="C98" s="37"/>
      <c r="D98" s="53" t="str">
        <f t="shared" si="9"/>
        <v/>
      </c>
      <c r="E98" s="54" t="str">
        <f t="shared" si="10"/>
        <v/>
      </c>
      <c r="F98" s="54" t="str">
        <f t="shared" si="11"/>
        <v/>
      </c>
      <c r="G98" s="55" t="str">
        <f t="shared" si="12"/>
        <v/>
      </c>
      <c r="H98" s="55" t="str">
        <f t="shared" si="13"/>
        <v/>
      </c>
      <c r="I98" s="56" t="str">
        <f t="shared" si="14"/>
        <v/>
      </c>
    </row>
    <row r="99" spans="1:9" s="34" customFormat="1" ht="12.5" x14ac:dyDescent="0.25">
      <c r="A99" s="35"/>
      <c r="B99" s="36"/>
      <c r="C99" s="37"/>
      <c r="D99" s="53" t="str">
        <f t="shared" si="9"/>
        <v/>
      </c>
      <c r="E99" s="54" t="str">
        <f t="shared" si="10"/>
        <v/>
      </c>
      <c r="F99" s="54" t="str">
        <f t="shared" si="11"/>
        <v/>
      </c>
      <c r="G99" s="55" t="str">
        <f t="shared" si="12"/>
        <v/>
      </c>
      <c r="H99" s="55" t="str">
        <f t="shared" si="13"/>
        <v/>
      </c>
      <c r="I99" s="56" t="str">
        <f t="shared" si="14"/>
        <v/>
      </c>
    </row>
    <row r="100" spans="1:9" s="34" customFormat="1" ht="12.5" x14ac:dyDescent="0.25">
      <c r="A100" s="35"/>
      <c r="B100" s="36"/>
      <c r="C100" s="37"/>
      <c r="D100" s="53" t="str">
        <f t="shared" si="9"/>
        <v/>
      </c>
      <c r="E100" s="54" t="str">
        <f t="shared" si="10"/>
        <v/>
      </c>
      <c r="F100" s="54" t="str">
        <f t="shared" si="11"/>
        <v/>
      </c>
      <c r="G100" s="55" t="str">
        <f t="shared" si="12"/>
        <v/>
      </c>
      <c r="H100" s="55" t="str">
        <f t="shared" si="13"/>
        <v/>
      </c>
      <c r="I100" s="56" t="str">
        <f t="shared" si="14"/>
        <v/>
      </c>
    </row>
    <row r="101" spans="1:9" s="34" customFormat="1" ht="12.5" x14ac:dyDescent="0.25">
      <c r="A101" s="35"/>
      <c r="B101" s="36"/>
      <c r="C101" s="37"/>
      <c r="D101" s="53" t="str">
        <f t="shared" si="9"/>
        <v/>
      </c>
      <c r="E101" s="54" t="str">
        <f t="shared" si="10"/>
        <v/>
      </c>
      <c r="F101" s="54" t="str">
        <f t="shared" si="11"/>
        <v/>
      </c>
      <c r="G101" s="55" t="str">
        <f t="shared" si="12"/>
        <v/>
      </c>
      <c r="H101" s="55" t="str">
        <f t="shared" si="13"/>
        <v/>
      </c>
      <c r="I101" s="56" t="str">
        <f t="shared" si="14"/>
        <v/>
      </c>
    </row>
    <row r="102" spans="1:9" s="34" customFormat="1" ht="12.5" x14ac:dyDescent="0.25">
      <c r="A102" s="35"/>
      <c r="B102" s="36"/>
      <c r="C102" s="37"/>
      <c r="D102" s="53" t="str">
        <f t="shared" si="9"/>
        <v/>
      </c>
      <c r="E102" s="54" t="str">
        <f t="shared" si="10"/>
        <v/>
      </c>
      <c r="F102" s="54" t="str">
        <f t="shared" si="11"/>
        <v/>
      </c>
      <c r="G102" s="55" t="str">
        <f t="shared" si="12"/>
        <v/>
      </c>
      <c r="H102" s="55" t="str">
        <f t="shared" si="13"/>
        <v/>
      </c>
      <c r="I102" s="56" t="str">
        <f t="shared" si="14"/>
        <v/>
      </c>
    </row>
    <row r="103" spans="1:9" s="34" customFormat="1" ht="12.5" x14ac:dyDescent="0.25">
      <c r="A103" s="35"/>
      <c r="B103" s="36"/>
      <c r="C103" s="37"/>
      <c r="D103" s="53" t="str">
        <f t="shared" si="9"/>
        <v/>
      </c>
      <c r="E103" s="54" t="str">
        <f t="shared" si="10"/>
        <v/>
      </c>
      <c r="F103" s="54" t="str">
        <f t="shared" si="11"/>
        <v/>
      </c>
      <c r="G103" s="55" t="str">
        <f t="shared" si="12"/>
        <v/>
      </c>
      <c r="H103" s="55" t="str">
        <f t="shared" si="13"/>
        <v/>
      </c>
      <c r="I103" s="56" t="str">
        <f t="shared" si="14"/>
        <v/>
      </c>
    </row>
    <row r="104" spans="1:9" s="34" customFormat="1" ht="12.5" x14ac:dyDescent="0.25">
      <c r="A104" s="35"/>
      <c r="B104" s="36"/>
      <c r="C104" s="37"/>
      <c r="D104" s="53" t="str">
        <f t="shared" si="9"/>
        <v/>
      </c>
      <c r="E104" s="54" t="str">
        <f t="shared" si="10"/>
        <v/>
      </c>
      <c r="F104" s="54" t="str">
        <f t="shared" si="11"/>
        <v/>
      </c>
      <c r="G104" s="55" t="str">
        <f t="shared" si="12"/>
        <v/>
      </c>
      <c r="H104" s="55" t="str">
        <f t="shared" si="13"/>
        <v/>
      </c>
      <c r="I104" s="56" t="str">
        <f t="shared" si="14"/>
        <v/>
      </c>
    </row>
    <row r="105" spans="1:9" s="34" customFormat="1" ht="12.5" x14ac:dyDescent="0.25">
      <c r="A105" s="35"/>
      <c r="B105" s="36"/>
      <c r="C105" s="37"/>
      <c r="D105" s="53" t="str">
        <f t="shared" si="9"/>
        <v/>
      </c>
      <c r="E105" s="54" t="str">
        <f t="shared" si="10"/>
        <v/>
      </c>
      <c r="F105" s="54" t="str">
        <f t="shared" si="11"/>
        <v/>
      </c>
      <c r="G105" s="55" t="str">
        <f t="shared" si="12"/>
        <v/>
      </c>
      <c r="H105" s="55" t="str">
        <f t="shared" si="13"/>
        <v/>
      </c>
      <c r="I105" s="56" t="str">
        <f t="shared" si="14"/>
        <v/>
      </c>
    </row>
    <row r="106" spans="1:9" s="34" customFormat="1" ht="12.5" x14ac:dyDescent="0.25">
      <c r="A106" s="35"/>
      <c r="B106" s="36"/>
      <c r="C106" s="37"/>
      <c r="D106" s="53" t="str">
        <f t="shared" si="9"/>
        <v/>
      </c>
      <c r="E106" s="54" t="str">
        <f t="shared" si="10"/>
        <v/>
      </c>
      <c r="F106" s="54" t="str">
        <f t="shared" si="11"/>
        <v/>
      </c>
      <c r="G106" s="55" t="str">
        <f t="shared" si="12"/>
        <v/>
      </c>
      <c r="H106" s="55" t="str">
        <f t="shared" si="13"/>
        <v/>
      </c>
      <c r="I106" s="56" t="str">
        <f t="shared" si="14"/>
        <v/>
      </c>
    </row>
    <row r="107" spans="1:9" s="34" customFormat="1" ht="12.5" x14ac:dyDescent="0.25">
      <c r="A107" s="35"/>
      <c r="B107" s="36"/>
      <c r="C107" s="37"/>
      <c r="D107" s="53" t="str">
        <f t="shared" si="9"/>
        <v/>
      </c>
      <c r="E107" s="54" t="str">
        <f t="shared" si="10"/>
        <v/>
      </c>
      <c r="F107" s="54" t="str">
        <f t="shared" si="11"/>
        <v/>
      </c>
      <c r="G107" s="55" t="str">
        <f t="shared" si="12"/>
        <v/>
      </c>
      <c r="H107" s="55" t="str">
        <f t="shared" si="13"/>
        <v/>
      </c>
      <c r="I107" s="56" t="str">
        <f t="shared" si="14"/>
        <v/>
      </c>
    </row>
    <row r="108" spans="1:9" s="34" customFormat="1" ht="12.5" x14ac:dyDescent="0.25">
      <c r="A108" s="35"/>
      <c r="B108" s="36"/>
      <c r="C108" s="37"/>
      <c r="D108" s="53" t="str">
        <f t="shared" si="9"/>
        <v/>
      </c>
      <c r="E108" s="54" t="str">
        <f t="shared" si="10"/>
        <v/>
      </c>
      <c r="F108" s="54" t="str">
        <f t="shared" si="11"/>
        <v/>
      </c>
      <c r="G108" s="55" t="str">
        <f t="shared" si="12"/>
        <v/>
      </c>
      <c r="H108" s="55" t="str">
        <f t="shared" si="13"/>
        <v/>
      </c>
      <c r="I108" s="56" t="str">
        <f t="shared" si="14"/>
        <v/>
      </c>
    </row>
    <row r="109" spans="1:9" s="34" customFormat="1" ht="12.5" x14ac:dyDescent="0.25">
      <c r="A109" s="35"/>
      <c r="B109" s="36"/>
      <c r="C109" s="37"/>
      <c r="D109" s="53" t="str">
        <f t="shared" si="9"/>
        <v/>
      </c>
      <c r="E109" s="54" t="str">
        <f t="shared" si="10"/>
        <v/>
      </c>
      <c r="F109" s="54" t="str">
        <f t="shared" si="11"/>
        <v/>
      </c>
      <c r="G109" s="55" t="str">
        <f t="shared" si="12"/>
        <v/>
      </c>
      <c r="H109" s="55" t="str">
        <f t="shared" si="13"/>
        <v/>
      </c>
      <c r="I109" s="56" t="str">
        <f t="shared" si="14"/>
        <v/>
      </c>
    </row>
    <row r="110" spans="1:9" s="34" customFormat="1" ht="12.5" x14ac:dyDescent="0.25">
      <c r="A110" s="35"/>
      <c r="B110" s="36"/>
      <c r="C110" s="37"/>
      <c r="D110" s="53" t="str">
        <f t="shared" si="9"/>
        <v/>
      </c>
      <c r="E110" s="54" t="str">
        <f t="shared" si="10"/>
        <v/>
      </c>
      <c r="F110" s="54" t="str">
        <f t="shared" si="11"/>
        <v/>
      </c>
      <c r="G110" s="55" t="str">
        <f t="shared" si="12"/>
        <v/>
      </c>
      <c r="H110" s="55" t="str">
        <f t="shared" si="13"/>
        <v/>
      </c>
      <c r="I110" s="56" t="str">
        <f t="shared" si="14"/>
        <v/>
      </c>
    </row>
    <row r="111" spans="1:9" s="34" customFormat="1" ht="12.5" x14ac:dyDescent="0.25">
      <c r="A111" s="35"/>
      <c r="B111" s="36"/>
      <c r="C111" s="37"/>
      <c r="D111" s="53" t="str">
        <f t="shared" si="9"/>
        <v/>
      </c>
      <c r="E111" s="54" t="str">
        <f t="shared" si="10"/>
        <v/>
      </c>
      <c r="F111" s="54" t="str">
        <f t="shared" si="11"/>
        <v/>
      </c>
      <c r="G111" s="55" t="str">
        <f t="shared" si="12"/>
        <v/>
      </c>
      <c r="H111" s="55" t="str">
        <f t="shared" si="13"/>
        <v/>
      </c>
      <c r="I111" s="56" t="str">
        <f t="shared" si="14"/>
        <v/>
      </c>
    </row>
    <row r="112" spans="1:9" s="34" customFormat="1" ht="12.5" x14ac:dyDescent="0.25">
      <c r="A112" s="35"/>
      <c r="B112" s="36"/>
      <c r="C112" s="37"/>
      <c r="D112" s="53" t="str">
        <f t="shared" si="9"/>
        <v/>
      </c>
      <c r="E112" s="54" t="str">
        <f t="shared" si="10"/>
        <v/>
      </c>
      <c r="F112" s="54" t="str">
        <f t="shared" si="11"/>
        <v/>
      </c>
      <c r="G112" s="55" t="str">
        <f t="shared" si="12"/>
        <v/>
      </c>
      <c r="H112" s="55" t="str">
        <f t="shared" si="13"/>
        <v/>
      </c>
      <c r="I112" s="56" t="str">
        <f t="shared" si="14"/>
        <v/>
      </c>
    </row>
    <row r="113" spans="1:9" s="34" customFormat="1" ht="12.5" x14ac:dyDescent="0.25">
      <c r="A113" s="35"/>
      <c r="B113" s="36"/>
      <c r="C113" s="37"/>
      <c r="D113" s="53" t="str">
        <f t="shared" si="9"/>
        <v/>
      </c>
      <c r="E113" s="54" t="str">
        <f t="shared" si="10"/>
        <v/>
      </c>
      <c r="F113" s="54" t="str">
        <f t="shared" si="11"/>
        <v/>
      </c>
      <c r="G113" s="55" t="str">
        <f t="shared" si="12"/>
        <v/>
      </c>
      <c r="H113" s="55" t="str">
        <f t="shared" si="13"/>
        <v/>
      </c>
      <c r="I113" s="56" t="str">
        <f t="shared" si="14"/>
        <v/>
      </c>
    </row>
    <row r="114" spans="1:9" s="34" customFormat="1" ht="12.5" x14ac:dyDescent="0.25">
      <c r="A114" s="35"/>
      <c r="B114" s="36"/>
      <c r="C114" s="37"/>
      <c r="D114" s="53" t="str">
        <f t="shared" si="9"/>
        <v/>
      </c>
      <c r="E114" s="54" t="str">
        <f t="shared" si="10"/>
        <v/>
      </c>
      <c r="F114" s="54" t="str">
        <f t="shared" si="11"/>
        <v/>
      </c>
      <c r="G114" s="55" t="str">
        <f t="shared" si="12"/>
        <v/>
      </c>
      <c r="H114" s="55" t="str">
        <f t="shared" si="13"/>
        <v/>
      </c>
      <c r="I114" s="56" t="str">
        <f t="shared" si="14"/>
        <v/>
      </c>
    </row>
    <row r="115" spans="1:9" s="34" customFormat="1" ht="12.5" x14ac:dyDescent="0.25">
      <c r="A115" s="35"/>
      <c r="B115" s="36"/>
      <c r="C115" s="37"/>
      <c r="D115" s="53" t="str">
        <f t="shared" si="9"/>
        <v/>
      </c>
      <c r="E115" s="54" t="str">
        <f t="shared" si="10"/>
        <v/>
      </c>
      <c r="F115" s="54" t="str">
        <f t="shared" si="11"/>
        <v/>
      </c>
      <c r="G115" s="55" t="str">
        <f t="shared" si="12"/>
        <v/>
      </c>
      <c r="H115" s="55" t="str">
        <f t="shared" si="13"/>
        <v/>
      </c>
      <c r="I115" s="56" t="str">
        <f t="shared" si="14"/>
        <v/>
      </c>
    </row>
    <row r="116" spans="1:9" s="34" customFormat="1" ht="12.5" x14ac:dyDescent="0.25">
      <c r="A116" s="35"/>
      <c r="B116" s="36"/>
      <c r="C116" s="37"/>
      <c r="D116" s="53" t="str">
        <f t="shared" si="9"/>
        <v/>
      </c>
      <c r="E116" s="54" t="str">
        <f t="shared" si="10"/>
        <v/>
      </c>
      <c r="F116" s="54" t="str">
        <f t="shared" si="11"/>
        <v/>
      </c>
      <c r="G116" s="55" t="str">
        <f t="shared" si="12"/>
        <v/>
      </c>
      <c r="H116" s="55" t="str">
        <f t="shared" si="13"/>
        <v/>
      </c>
      <c r="I116" s="56" t="str">
        <f t="shared" si="14"/>
        <v/>
      </c>
    </row>
    <row r="117" spans="1:9" s="34" customFormat="1" ht="12.5" x14ac:dyDescent="0.25">
      <c r="A117" s="35"/>
      <c r="B117" s="36"/>
      <c r="C117" s="37"/>
      <c r="D117" s="53" t="str">
        <f t="shared" si="9"/>
        <v/>
      </c>
      <c r="E117" s="54" t="str">
        <f t="shared" si="10"/>
        <v/>
      </c>
      <c r="F117" s="54" t="str">
        <f t="shared" si="11"/>
        <v/>
      </c>
      <c r="G117" s="55" t="str">
        <f t="shared" si="12"/>
        <v/>
      </c>
      <c r="H117" s="55" t="str">
        <f t="shared" si="13"/>
        <v/>
      </c>
      <c r="I117" s="56" t="str">
        <f t="shared" si="14"/>
        <v/>
      </c>
    </row>
    <row r="118" spans="1:9" s="34" customFormat="1" ht="12.5" x14ac:dyDescent="0.25">
      <c r="A118" s="35"/>
      <c r="B118" s="36"/>
      <c r="C118" s="37"/>
      <c r="D118" s="53" t="str">
        <f t="shared" si="9"/>
        <v/>
      </c>
      <c r="E118" s="54" t="str">
        <f t="shared" si="10"/>
        <v/>
      </c>
      <c r="F118" s="54" t="str">
        <f t="shared" si="11"/>
        <v/>
      </c>
      <c r="G118" s="55" t="str">
        <f t="shared" si="12"/>
        <v/>
      </c>
      <c r="H118" s="55" t="str">
        <f t="shared" si="13"/>
        <v/>
      </c>
      <c r="I118" s="56" t="str">
        <f t="shared" si="14"/>
        <v/>
      </c>
    </row>
    <row r="119" spans="1:9" s="34" customFormat="1" ht="12.5" x14ac:dyDescent="0.25">
      <c r="A119" s="35"/>
      <c r="B119" s="36"/>
      <c r="C119" s="37"/>
      <c r="D119" s="53" t="str">
        <f t="shared" si="9"/>
        <v/>
      </c>
      <c r="E119" s="54" t="str">
        <f t="shared" si="10"/>
        <v/>
      </c>
      <c r="F119" s="54" t="str">
        <f t="shared" si="11"/>
        <v/>
      </c>
      <c r="G119" s="55" t="str">
        <f t="shared" si="12"/>
        <v/>
      </c>
      <c r="H119" s="55" t="str">
        <f t="shared" si="13"/>
        <v/>
      </c>
      <c r="I119" s="56" t="str">
        <f t="shared" si="14"/>
        <v/>
      </c>
    </row>
    <row r="120" spans="1:9" s="34" customFormat="1" ht="12.5" x14ac:dyDescent="0.25">
      <c r="A120" s="35"/>
      <c r="B120" s="36"/>
      <c r="C120" s="37"/>
      <c r="D120" s="53" t="str">
        <f t="shared" si="9"/>
        <v/>
      </c>
      <c r="E120" s="54" t="str">
        <f t="shared" si="10"/>
        <v/>
      </c>
      <c r="F120" s="54" t="str">
        <f t="shared" si="11"/>
        <v/>
      </c>
      <c r="G120" s="55" t="str">
        <f t="shared" si="12"/>
        <v/>
      </c>
      <c r="H120" s="55" t="str">
        <f t="shared" si="13"/>
        <v/>
      </c>
      <c r="I120" s="56" t="str">
        <f t="shared" si="14"/>
        <v/>
      </c>
    </row>
    <row r="121" spans="1:9" s="34" customFormat="1" ht="12.5" x14ac:dyDescent="0.25">
      <c r="A121" s="35"/>
      <c r="B121" s="36"/>
      <c r="C121" s="37"/>
      <c r="D121" s="53" t="str">
        <f t="shared" si="9"/>
        <v/>
      </c>
      <c r="E121" s="54" t="str">
        <f t="shared" si="10"/>
        <v/>
      </c>
      <c r="F121" s="54" t="str">
        <f t="shared" si="11"/>
        <v/>
      </c>
      <c r="G121" s="55" t="str">
        <f t="shared" si="12"/>
        <v/>
      </c>
      <c r="H121" s="55" t="str">
        <f t="shared" si="13"/>
        <v/>
      </c>
      <c r="I121" s="56" t="str">
        <f t="shared" si="14"/>
        <v/>
      </c>
    </row>
    <row r="122" spans="1:9" s="34" customFormat="1" ht="12.5" x14ac:dyDescent="0.25">
      <c r="A122" s="35"/>
      <c r="B122" s="36"/>
      <c r="C122" s="37"/>
      <c r="D122" s="53" t="str">
        <f t="shared" si="9"/>
        <v/>
      </c>
      <c r="E122" s="54" t="str">
        <f t="shared" si="10"/>
        <v/>
      </c>
      <c r="F122" s="54" t="str">
        <f t="shared" si="11"/>
        <v/>
      </c>
      <c r="G122" s="55" t="str">
        <f t="shared" si="12"/>
        <v/>
      </c>
      <c r="H122" s="55" t="str">
        <f t="shared" si="13"/>
        <v/>
      </c>
      <c r="I122" s="56" t="str">
        <f t="shared" si="14"/>
        <v/>
      </c>
    </row>
    <row r="123" spans="1:9" s="34" customFormat="1" ht="12.5" x14ac:dyDescent="0.25">
      <c r="A123" s="35"/>
      <c r="B123" s="36"/>
      <c r="C123" s="37"/>
      <c r="D123" s="53" t="str">
        <f t="shared" si="9"/>
        <v/>
      </c>
      <c r="E123" s="54" t="str">
        <f t="shared" si="10"/>
        <v/>
      </c>
      <c r="F123" s="54" t="str">
        <f t="shared" si="11"/>
        <v/>
      </c>
      <c r="G123" s="55" t="str">
        <f t="shared" si="12"/>
        <v/>
      </c>
      <c r="H123" s="55" t="str">
        <f t="shared" si="13"/>
        <v/>
      </c>
      <c r="I123" s="56" t="str">
        <f t="shared" si="14"/>
        <v/>
      </c>
    </row>
    <row r="124" spans="1:9" s="34" customFormat="1" ht="12.5" x14ac:dyDescent="0.25">
      <c r="A124" s="35"/>
      <c r="B124" s="36"/>
      <c r="C124" s="37"/>
      <c r="D124" s="53" t="str">
        <f t="shared" si="9"/>
        <v/>
      </c>
      <c r="E124" s="54" t="str">
        <f t="shared" si="10"/>
        <v/>
      </c>
      <c r="F124" s="54" t="str">
        <f t="shared" si="11"/>
        <v/>
      </c>
      <c r="G124" s="55" t="str">
        <f t="shared" si="12"/>
        <v/>
      </c>
      <c r="H124" s="55" t="str">
        <f t="shared" si="13"/>
        <v/>
      </c>
      <c r="I124" s="56" t="str">
        <f t="shared" si="14"/>
        <v/>
      </c>
    </row>
    <row r="125" spans="1:9" s="34" customFormat="1" ht="12.5" x14ac:dyDescent="0.25">
      <c r="A125" s="35"/>
      <c r="B125" s="36"/>
      <c r="C125" s="37"/>
      <c r="D125" s="53" t="str">
        <f t="shared" si="9"/>
        <v/>
      </c>
      <c r="E125" s="54" t="str">
        <f t="shared" si="10"/>
        <v/>
      </c>
      <c r="F125" s="54" t="str">
        <f t="shared" si="11"/>
        <v/>
      </c>
      <c r="G125" s="55" t="str">
        <f t="shared" si="12"/>
        <v/>
      </c>
      <c r="H125" s="55" t="str">
        <f t="shared" si="13"/>
        <v/>
      </c>
      <c r="I125" s="56" t="str">
        <f t="shared" si="14"/>
        <v/>
      </c>
    </row>
    <row r="126" spans="1:9" s="34" customFormat="1" ht="12.5" x14ac:dyDescent="0.25">
      <c r="A126" s="35"/>
      <c r="B126" s="36"/>
      <c r="C126" s="37"/>
      <c r="D126" s="53" t="str">
        <f t="shared" si="9"/>
        <v/>
      </c>
      <c r="E126" s="54" t="str">
        <f t="shared" si="10"/>
        <v/>
      </c>
      <c r="F126" s="54" t="str">
        <f t="shared" si="11"/>
        <v/>
      </c>
      <c r="G126" s="55" t="str">
        <f t="shared" si="12"/>
        <v/>
      </c>
      <c r="H126" s="55" t="str">
        <f t="shared" si="13"/>
        <v/>
      </c>
      <c r="I126" s="56" t="str">
        <f t="shared" si="14"/>
        <v/>
      </c>
    </row>
    <row r="127" spans="1:9" s="34" customFormat="1" ht="12.5" x14ac:dyDescent="0.25">
      <c r="A127" s="35"/>
      <c r="B127" s="36"/>
      <c r="C127" s="37"/>
      <c r="D127" s="53" t="str">
        <f t="shared" si="9"/>
        <v/>
      </c>
      <c r="E127" s="54" t="str">
        <f t="shared" si="10"/>
        <v/>
      </c>
      <c r="F127" s="54" t="str">
        <f t="shared" si="11"/>
        <v/>
      </c>
      <c r="G127" s="55" t="str">
        <f t="shared" si="12"/>
        <v/>
      </c>
      <c r="H127" s="55" t="str">
        <f t="shared" si="13"/>
        <v/>
      </c>
      <c r="I127" s="56" t="str">
        <f t="shared" si="14"/>
        <v/>
      </c>
    </row>
    <row r="128" spans="1:9" s="34" customFormat="1" ht="12.5" x14ac:dyDescent="0.25">
      <c r="A128" s="35"/>
      <c r="B128" s="36"/>
      <c r="C128" s="37"/>
      <c r="D128" s="53" t="str">
        <f t="shared" si="9"/>
        <v/>
      </c>
      <c r="E128" s="54" t="str">
        <f t="shared" si="10"/>
        <v/>
      </c>
      <c r="F128" s="54" t="str">
        <f t="shared" si="11"/>
        <v/>
      </c>
      <c r="G128" s="55" t="str">
        <f t="shared" si="12"/>
        <v/>
      </c>
      <c r="H128" s="55" t="str">
        <f t="shared" si="13"/>
        <v/>
      </c>
      <c r="I128" s="56" t="str">
        <f t="shared" si="14"/>
        <v/>
      </c>
    </row>
    <row r="129" spans="1:9" s="34" customFormat="1" ht="12.5" x14ac:dyDescent="0.25">
      <c r="A129" s="35"/>
      <c r="B129" s="36"/>
      <c r="C129" s="37"/>
      <c r="D129" s="53" t="str">
        <f t="shared" si="9"/>
        <v/>
      </c>
      <c r="E129" s="54" t="str">
        <f t="shared" si="10"/>
        <v/>
      </c>
      <c r="F129" s="54" t="str">
        <f t="shared" si="11"/>
        <v/>
      </c>
      <c r="G129" s="55" t="str">
        <f t="shared" si="12"/>
        <v/>
      </c>
      <c r="H129" s="55" t="str">
        <f t="shared" si="13"/>
        <v/>
      </c>
      <c r="I129" s="56" t="str">
        <f t="shared" si="14"/>
        <v/>
      </c>
    </row>
    <row r="130" spans="1:9" s="34" customFormat="1" ht="12.5" x14ac:dyDescent="0.25">
      <c r="A130" s="35"/>
      <c r="B130" s="36"/>
      <c r="C130" s="37"/>
      <c r="D130" s="53" t="str">
        <f t="shared" si="9"/>
        <v/>
      </c>
      <c r="E130" s="54" t="str">
        <f t="shared" si="10"/>
        <v/>
      </c>
      <c r="F130" s="54" t="str">
        <f t="shared" si="11"/>
        <v/>
      </c>
      <c r="G130" s="55" t="str">
        <f t="shared" si="12"/>
        <v/>
      </c>
      <c r="H130" s="55" t="str">
        <f t="shared" si="13"/>
        <v/>
      </c>
      <c r="I130" s="56" t="str">
        <f t="shared" si="14"/>
        <v/>
      </c>
    </row>
    <row r="131" spans="1:9" s="34" customFormat="1" ht="12.5" x14ac:dyDescent="0.25">
      <c r="A131" s="35"/>
      <c r="B131" s="36"/>
      <c r="C131" s="37"/>
      <c r="D131" s="53" t="str">
        <f t="shared" si="9"/>
        <v/>
      </c>
      <c r="E131" s="54" t="str">
        <f t="shared" si="10"/>
        <v/>
      </c>
      <c r="F131" s="54" t="str">
        <f t="shared" si="11"/>
        <v/>
      </c>
      <c r="G131" s="55" t="str">
        <f t="shared" si="12"/>
        <v/>
      </c>
      <c r="H131" s="55" t="str">
        <f t="shared" si="13"/>
        <v/>
      </c>
      <c r="I131" s="56" t="str">
        <f t="shared" si="14"/>
        <v/>
      </c>
    </row>
    <row r="132" spans="1:9" s="34" customFormat="1" ht="12.5" x14ac:dyDescent="0.25">
      <c r="A132" s="35"/>
      <c r="B132" s="36"/>
      <c r="C132" s="37"/>
      <c r="D132" s="53" t="str">
        <f t="shared" si="9"/>
        <v/>
      </c>
      <c r="E132" s="54" t="str">
        <f t="shared" si="10"/>
        <v/>
      </c>
      <c r="F132" s="54" t="str">
        <f t="shared" si="11"/>
        <v/>
      </c>
      <c r="G132" s="55" t="str">
        <f t="shared" si="12"/>
        <v/>
      </c>
      <c r="H132" s="55" t="str">
        <f t="shared" si="13"/>
        <v/>
      </c>
      <c r="I132" s="56" t="str">
        <f t="shared" si="14"/>
        <v/>
      </c>
    </row>
    <row r="133" spans="1:9" s="34" customFormat="1" ht="12.5" x14ac:dyDescent="0.25">
      <c r="A133" s="35"/>
      <c r="B133" s="36"/>
      <c r="C133" s="37"/>
      <c r="D133" s="53" t="str">
        <f t="shared" si="9"/>
        <v/>
      </c>
      <c r="E133" s="54" t="str">
        <f t="shared" si="10"/>
        <v/>
      </c>
      <c r="F133" s="54" t="str">
        <f t="shared" si="11"/>
        <v/>
      </c>
      <c r="G133" s="55" t="str">
        <f t="shared" si="12"/>
        <v/>
      </c>
      <c r="H133" s="55" t="str">
        <f t="shared" si="13"/>
        <v/>
      </c>
      <c r="I133" s="56" t="str">
        <f t="shared" si="14"/>
        <v/>
      </c>
    </row>
    <row r="134" spans="1:9" s="34" customFormat="1" ht="12.5" x14ac:dyDescent="0.25">
      <c r="A134" s="35"/>
      <c r="B134" s="36"/>
      <c r="C134" s="37"/>
      <c r="D134" s="53" t="str">
        <f t="shared" si="9"/>
        <v/>
      </c>
      <c r="E134" s="54" t="str">
        <f t="shared" si="10"/>
        <v/>
      </c>
      <c r="F134" s="54" t="str">
        <f t="shared" si="11"/>
        <v/>
      </c>
      <c r="G134" s="55" t="str">
        <f t="shared" si="12"/>
        <v/>
      </c>
      <c r="H134" s="55" t="str">
        <f t="shared" si="13"/>
        <v/>
      </c>
      <c r="I134" s="56" t="str">
        <f t="shared" si="14"/>
        <v/>
      </c>
    </row>
    <row r="135" spans="1:9" s="34" customFormat="1" ht="12.5" x14ac:dyDescent="0.25">
      <c r="A135" s="35"/>
      <c r="B135" s="36"/>
      <c r="C135" s="37"/>
      <c r="D135" s="53" t="str">
        <f t="shared" si="9"/>
        <v/>
      </c>
      <c r="E135" s="54" t="str">
        <f t="shared" si="10"/>
        <v/>
      </c>
      <c r="F135" s="54" t="str">
        <f t="shared" si="11"/>
        <v/>
      </c>
      <c r="G135" s="55" t="str">
        <f t="shared" si="12"/>
        <v/>
      </c>
      <c r="H135" s="55" t="str">
        <f t="shared" si="13"/>
        <v/>
      </c>
      <c r="I135" s="56" t="str">
        <f t="shared" si="14"/>
        <v/>
      </c>
    </row>
    <row r="136" spans="1:9" s="34" customFormat="1" ht="12.5" x14ac:dyDescent="0.25">
      <c r="A136" s="35"/>
      <c r="B136" s="36"/>
      <c r="C136" s="37"/>
      <c r="D136" s="53" t="str">
        <f t="shared" si="9"/>
        <v/>
      </c>
      <c r="E136" s="54" t="str">
        <f t="shared" si="10"/>
        <v/>
      </c>
      <c r="F136" s="54" t="str">
        <f t="shared" si="11"/>
        <v/>
      </c>
      <c r="G136" s="55" t="str">
        <f t="shared" si="12"/>
        <v/>
      </c>
      <c r="H136" s="55" t="str">
        <f t="shared" si="13"/>
        <v/>
      </c>
      <c r="I136" s="56" t="str">
        <f t="shared" si="14"/>
        <v/>
      </c>
    </row>
    <row r="137" spans="1:9" s="34" customFormat="1" ht="12.5" x14ac:dyDescent="0.25">
      <c r="A137" s="35"/>
      <c r="B137" s="36"/>
      <c r="C137" s="37"/>
      <c r="D137" s="53" t="str">
        <f t="shared" si="9"/>
        <v/>
      </c>
      <c r="E137" s="54" t="str">
        <f t="shared" si="10"/>
        <v/>
      </c>
      <c r="F137" s="54" t="str">
        <f t="shared" si="11"/>
        <v/>
      </c>
      <c r="G137" s="55" t="str">
        <f t="shared" si="12"/>
        <v/>
      </c>
      <c r="H137" s="55" t="str">
        <f t="shared" si="13"/>
        <v/>
      </c>
      <c r="I137" s="56" t="str">
        <f t="shared" si="14"/>
        <v/>
      </c>
    </row>
    <row r="138" spans="1:9" s="34" customFormat="1" ht="12.5" x14ac:dyDescent="0.25">
      <c r="A138" s="35"/>
      <c r="B138" s="36"/>
      <c r="C138" s="37"/>
      <c r="D138" s="53" t="str">
        <f t="shared" si="9"/>
        <v/>
      </c>
      <c r="E138" s="54" t="str">
        <f t="shared" si="10"/>
        <v/>
      </c>
      <c r="F138" s="54" t="str">
        <f t="shared" si="11"/>
        <v/>
      </c>
      <c r="G138" s="55" t="str">
        <f t="shared" si="12"/>
        <v/>
      </c>
      <c r="H138" s="55" t="str">
        <f t="shared" si="13"/>
        <v/>
      </c>
      <c r="I138" s="56" t="str">
        <f t="shared" si="14"/>
        <v/>
      </c>
    </row>
    <row r="139" spans="1:9" s="34" customFormat="1" ht="12.5" x14ac:dyDescent="0.25">
      <c r="A139" s="35"/>
      <c r="B139" s="36"/>
      <c r="C139" s="37"/>
      <c r="D139" s="53" t="str">
        <f t="shared" si="9"/>
        <v/>
      </c>
      <c r="E139" s="54" t="str">
        <f t="shared" si="10"/>
        <v/>
      </c>
      <c r="F139" s="54" t="str">
        <f t="shared" si="11"/>
        <v/>
      </c>
      <c r="G139" s="55" t="str">
        <f t="shared" si="12"/>
        <v/>
      </c>
      <c r="H139" s="55" t="str">
        <f t="shared" si="13"/>
        <v/>
      </c>
      <c r="I139" s="56" t="str">
        <f t="shared" si="14"/>
        <v/>
      </c>
    </row>
    <row r="140" spans="1:9" s="34" customFormat="1" ht="12.5" x14ac:dyDescent="0.25">
      <c r="A140" s="35"/>
      <c r="B140" s="36"/>
      <c r="C140" s="37"/>
      <c r="D140" s="53" t="str">
        <f t="shared" si="9"/>
        <v/>
      </c>
      <c r="E140" s="54" t="str">
        <f t="shared" si="10"/>
        <v/>
      </c>
      <c r="F140" s="54" t="str">
        <f t="shared" si="11"/>
        <v/>
      </c>
      <c r="G140" s="55" t="str">
        <f t="shared" si="12"/>
        <v/>
      </c>
      <c r="H140" s="55" t="str">
        <f t="shared" si="13"/>
        <v/>
      </c>
      <c r="I140" s="56" t="str">
        <f t="shared" si="14"/>
        <v/>
      </c>
    </row>
    <row r="141" spans="1:9" s="34" customFormat="1" ht="12.5" x14ac:dyDescent="0.25">
      <c r="A141" s="35"/>
      <c r="B141" s="36"/>
      <c r="C141" s="37"/>
      <c r="D141" s="53" t="str">
        <f t="shared" si="9"/>
        <v/>
      </c>
      <c r="E141" s="54" t="str">
        <f t="shared" si="10"/>
        <v/>
      </c>
      <c r="F141" s="54" t="str">
        <f t="shared" si="11"/>
        <v/>
      </c>
      <c r="G141" s="55" t="str">
        <f t="shared" si="12"/>
        <v/>
      </c>
      <c r="H141" s="55" t="str">
        <f t="shared" si="13"/>
        <v/>
      </c>
      <c r="I141" s="56" t="str">
        <f t="shared" si="14"/>
        <v/>
      </c>
    </row>
    <row r="142" spans="1:9" s="34" customFormat="1" ht="12.5" x14ac:dyDescent="0.25">
      <c r="A142" s="35"/>
      <c r="B142" s="36"/>
      <c r="C142" s="37"/>
      <c r="D142" s="53" t="str">
        <f t="shared" si="9"/>
        <v/>
      </c>
      <c r="E142" s="54" t="str">
        <f t="shared" si="10"/>
        <v/>
      </c>
      <c r="F142" s="54" t="str">
        <f t="shared" si="11"/>
        <v/>
      </c>
      <c r="G142" s="55" t="str">
        <f t="shared" si="12"/>
        <v/>
      </c>
      <c r="H142" s="55" t="str">
        <f t="shared" si="13"/>
        <v/>
      </c>
      <c r="I142" s="56" t="str">
        <f t="shared" si="14"/>
        <v/>
      </c>
    </row>
    <row r="143" spans="1:9" s="34" customFormat="1" ht="12.5" x14ac:dyDescent="0.25">
      <c r="A143" s="35"/>
      <c r="B143" s="36"/>
      <c r="C143" s="37"/>
      <c r="D143" s="53" t="str">
        <f t="shared" si="9"/>
        <v/>
      </c>
      <c r="E143" s="54" t="str">
        <f t="shared" si="10"/>
        <v/>
      </c>
      <c r="F143" s="54" t="str">
        <f t="shared" si="11"/>
        <v/>
      </c>
      <c r="G143" s="55" t="str">
        <f t="shared" si="12"/>
        <v/>
      </c>
      <c r="H143" s="55" t="str">
        <f t="shared" si="13"/>
        <v/>
      </c>
      <c r="I143" s="56" t="str">
        <f t="shared" si="14"/>
        <v/>
      </c>
    </row>
    <row r="144" spans="1:9" s="34" customFormat="1" ht="12.5" x14ac:dyDescent="0.25">
      <c r="A144" s="35"/>
      <c r="B144" s="36"/>
      <c r="C144" s="37"/>
      <c r="D144" s="53" t="str">
        <f t="shared" si="9"/>
        <v/>
      </c>
      <c r="E144" s="54" t="str">
        <f t="shared" si="10"/>
        <v/>
      </c>
      <c r="F144" s="54" t="str">
        <f t="shared" si="11"/>
        <v/>
      </c>
      <c r="G144" s="55" t="str">
        <f t="shared" si="12"/>
        <v/>
      </c>
      <c r="H144" s="55" t="str">
        <f t="shared" si="13"/>
        <v/>
      </c>
      <c r="I144" s="56" t="str">
        <f t="shared" si="14"/>
        <v/>
      </c>
    </row>
    <row r="145" spans="1:9" s="34" customFormat="1" ht="12.5" x14ac:dyDescent="0.25">
      <c r="A145" s="35"/>
      <c r="B145" s="36"/>
      <c r="C145" s="37"/>
      <c r="D145" s="53" t="str">
        <f t="shared" si="9"/>
        <v/>
      </c>
      <c r="E145" s="54" t="str">
        <f t="shared" si="10"/>
        <v/>
      </c>
      <c r="F145" s="54" t="str">
        <f t="shared" si="11"/>
        <v/>
      </c>
      <c r="G145" s="55" t="str">
        <f t="shared" si="12"/>
        <v/>
      </c>
      <c r="H145" s="55" t="str">
        <f t="shared" si="13"/>
        <v/>
      </c>
      <c r="I145" s="56" t="str">
        <f t="shared" si="14"/>
        <v/>
      </c>
    </row>
    <row r="146" spans="1:9" s="34" customFormat="1" ht="12.5" x14ac:dyDescent="0.25">
      <c r="A146" s="35"/>
      <c r="B146" s="36"/>
      <c r="C146" s="37"/>
      <c r="D146" s="53" t="str">
        <f t="shared" ref="D146:D201" si="15">IF(OR(A146="",B146=""),"",MAX(0,B146-A146))</f>
        <v/>
      </c>
      <c r="E146" s="54" t="str">
        <f t="shared" si="10"/>
        <v/>
      </c>
      <c r="F146" s="54" t="str">
        <f t="shared" si="11"/>
        <v/>
      </c>
      <c r="G146" s="55" t="str">
        <f t="shared" si="12"/>
        <v/>
      </c>
      <c r="H146" s="55" t="str">
        <f t="shared" si="13"/>
        <v/>
      </c>
      <c r="I146" s="56" t="str">
        <f t="shared" si="14"/>
        <v/>
      </c>
    </row>
    <row r="147" spans="1:9" s="34" customFormat="1" ht="12.5" x14ac:dyDescent="0.25">
      <c r="A147" s="35"/>
      <c r="B147" s="36"/>
      <c r="C147" s="37"/>
      <c r="D147" s="53" t="str">
        <f t="shared" si="15"/>
        <v/>
      </c>
      <c r="E147" s="54" t="str">
        <f t="shared" ref="E147:E201" si="16">IF(C147="","",I146*$B$8/12)</f>
        <v/>
      </c>
      <c r="F147" s="54" t="str">
        <f t="shared" ref="F147:F201" si="17">IF(C147="","",MAX(0,C147-E147-G147))</f>
        <v/>
      </c>
      <c r="G147" s="55" t="str">
        <f t="shared" ref="G147:G201" si="18">IF(C147="","",IF(D147&gt;0,C147*$B$9,0))</f>
        <v/>
      </c>
      <c r="H147" s="55" t="str">
        <f t="shared" ref="H147:H201" si="19">IF(C147="","",C147+E147+G147)</f>
        <v/>
      </c>
      <c r="I147" s="56" t="str">
        <f t="shared" ref="I147:I201" si="20">IF(C147="","",I146-F147)</f>
        <v/>
      </c>
    </row>
    <row r="148" spans="1:9" s="34" customFormat="1" ht="12.5" x14ac:dyDescent="0.25">
      <c r="A148" s="35"/>
      <c r="B148" s="36"/>
      <c r="C148" s="37"/>
      <c r="D148" s="53" t="str">
        <f t="shared" si="15"/>
        <v/>
      </c>
      <c r="E148" s="54" t="str">
        <f t="shared" si="16"/>
        <v/>
      </c>
      <c r="F148" s="54" t="str">
        <f t="shared" si="17"/>
        <v/>
      </c>
      <c r="G148" s="55" t="str">
        <f t="shared" si="18"/>
        <v/>
      </c>
      <c r="H148" s="55" t="str">
        <f t="shared" si="19"/>
        <v/>
      </c>
      <c r="I148" s="56" t="str">
        <f t="shared" si="20"/>
        <v/>
      </c>
    </row>
    <row r="149" spans="1:9" s="34" customFormat="1" ht="12.5" x14ac:dyDescent="0.25">
      <c r="A149" s="35"/>
      <c r="B149" s="36"/>
      <c r="C149" s="37"/>
      <c r="D149" s="53" t="str">
        <f t="shared" si="15"/>
        <v/>
      </c>
      <c r="E149" s="54" t="str">
        <f t="shared" si="16"/>
        <v/>
      </c>
      <c r="F149" s="54" t="str">
        <f t="shared" si="17"/>
        <v/>
      </c>
      <c r="G149" s="55" t="str">
        <f t="shared" si="18"/>
        <v/>
      </c>
      <c r="H149" s="55" t="str">
        <f t="shared" si="19"/>
        <v/>
      </c>
      <c r="I149" s="56" t="str">
        <f t="shared" si="20"/>
        <v/>
      </c>
    </row>
    <row r="150" spans="1:9" s="34" customFormat="1" ht="12.5" x14ac:dyDescent="0.25">
      <c r="A150" s="35"/>
      <c r="B150" s="36"/>
      <c r="C150" s="37"/>
      <c r="D150" s="53" t="str">
        <f t="shared" si="15"/>
        <v/>
      </c>
      <c r="E150" s="54" t="str">
        <f t="shared" si="16"/>
        <v/>
      </c>
      <c r="F150" s="54" t="str">
        <f t="shared" si="17"/>
        <v/>
      </c>
      <c r="G150" s="55" t="str">
        <f t="shared" si="18"/>
        <v/>
      </c>
      <c r="H150" s="55" t="str">
        <f t="shared" si="19"/>
        <v/>
      </c>
      <c r="I150" s="56" t="str">
        <f t="shared" si="20"/>
        <v/>
      </c>
    </row>
    <row r="151" spans="1:9" s="34" customFormat="1" ht="12.5" x14ac:dyDescent="0.25">
      <c r="A151" s="35"/>
      <c r="B151" s="36"/>
      <c r="C151" s="37"/>
      <c r="D151" s="53" t="str">
        <f t="shared" si="15"/>
        <v/>
      </c>
      <c r="E151" s="54" t="str">
        <f t="shared" si="16"/>
        <v/>
      </c>
      <c r="F151" s="54" t="str">
        <f t="shared" si="17"/>
        <v/>
      </c>
      <c r="G151" s="55" t="str">
        <f t="shared" si="18"/>
        <v/>
      </c>
      <c r="H151" s="55" t="str">
        <f t="shared" si="19"/>
        <v/>
      </c>
      <c r="I151" s="56" t="str">
        <f t="shared" si="20"/>
        <v/>
      </c>
    </row>
    <row r="152" spans="1:9" s="34" customFormat="1" ht="12.5" x14ac:dyDescent="0.25">
      <c r="A152" s="35"/>
      <c r="B152" s="36"/>
      <c r="C152" s="37"/>
      <c r="D152" s="53" t="str">
        <f t="shared" si="15"/>
        <v/>
      </c>
      <c r="E152" s="54" t="str">
        <f t="shared" si="16"/>
        <v/>
      </c>
      <c r="F152" s="54" t="str">
        <f t="shared" si="17"/>
        <v/>
      </c>
      <c r="G152" s="55" t="str">
        <f t="shared" si="18"/>
        <v/>
      </c>
      <c r="H152" s="55" t="str">
        <f t="shared" si="19"/>
        <v/>
      </c>
      <c r="I152" s="56" t="str">
        <f t="shared" si="20"/>
        <v/>
      </c>
    </row>
    <row r="153" spans="1:9" s="34" customFormat="1" ht="12.5" x14ac:dyDescent="0.25">
      <c r="A153" s="35"/>
      <c r="B153" s="36"/>
      <c r="C153" s="37"/>
      <c r="D153" s="53" t="str">
        <f t="shared" si="15"/>
        <v/>
      </c>
      <c r="E153" s="54" t="str">
        <f t="shared" si="16"/>
        <v/>
      </c>
      <c r="F153" s="54" t="str">
        <f t="shared" si="17"/>
        <v/>
      </c>
      <c r="G153" s="55" t="str">
        <f t="shared" si="18"/>
        <v/>
      </c>
      <c r="H153" s="55" t="str">
        <f t="shared" si="19"/>
        <v/>
      </c>
      <c r="I153" s="56" t="str">
        <f t="shared" si="20"/>
        <v/>
      </c>
    </row>
    <row r="154" spans="1:9" s="34" customFormat="1" ht="12.5" x14ac:dyDescent="0.25">
      <c r="A154" s="35"/>
      <c r="B154" s="36"/>
      <c r="C154" s="37"/>
      <c r="D154" s="53" t="str">
        <f t="shared" si="15"/>
        <v/>
      </c>
      <c r="E154" s="54" t="str">
        <f t="shared" si="16"/>
        <v/>
      </c>
      <c r="F154" s="54" t="str">
        <f t="shared" si="17"/>
        <v/>
      </c>
      <c r="G154" s="55" t="str">
        <f t="shared" si="18"/>
        <v/>
      </c>
      <c r="H154" s="55" t="str">
        <f t="shared" si="19"/>
        <v/>
      </c>
      <c r="I154" s="56" t="str">
        <f t="shared" si="20"/>
        <v/>
      </c>
    </row>
    <row r="155" spans="1:9" s="34" customFormat="1" ht="12.5" x14ac:dyDescent="0.25">
      <c r="A155" s="35"/>
      <c r="B155" s="36"/>
      <c r="C155" s="37"/>
      <c r="D155" s="53" t="str">
        <f t="shared" si="15"/>
        <v/>
      </c>
      <c r="E155" s="54" t="str">
        <f t="shared" si="16"/>
        <v/>
      </c>
      <c r="F155" s="54" t="str">
        <f t="shared" si="17"/>
        <v/>
      </c>
      <c r="G155" s="55" t="str">
        <f t="shared" si="18"/>
        <v/>
      </c>
      <c r="H155" s="55" t="str">
        <f t="shared" si="19"/>
        <v/>
      </c>
      <c r="I155" s="56" t="str">
        <f t="shared" si="20"/>
        <v/>
      </c>
    </row>
    <row r="156" spans="1:9" s="34" customFormat="1" ht="12.5" x14ac:dyDescent="0.25">
      <c r="A156" s="35"/>
      <c r="B156" s="36"/>
      <c r="C156" s="37"/>
      <c r="D156" s="53" t="str">
        <f t="shared" si="15"/>
        <v/>
      </c>
      <c r="E156" s="54" t="str">
        <f t="shared" si="16"/>
        <v/>
      </c>
      <c r="F156" s="54" t="str">
        <f t="shared" si="17"/>
        <v/>
      </c>
      <c r="G156" s="55" t="str">
        <f t="shared" si="18"/>
        <v/>
      </c>
      <c r="H156" s="55" t="str">
        <f t="shared" si="19"/>
        <v/>
      </c>
      <c r="I156" s="56" t="str">
        <f t="shared" si="20"/>
        <v/>
      </c>
    </row>
    <row r="157" spans="1:9" s="34" customFormat="1" ht="12.5" x14ac:dyDescent="0.25">
      <c r="A157" s="35"/>
      <c r="B157" s="36"/>
      <c r="C157" s="37"/>
      <c r="D157" s="53" t="str">
        <f t="shared" si="15"/>
        <v/>
      </c>
      <c r="E157" s="54" t="str">
        <f t="shared" si="16"/>
        <v/>
      </c>
      <c r="F157" s="54" t="str">
        <f t="shared" si="17"/>
        <v/>
      </c>
      <c r="G157" s="55" t="str">
        <f t="shared" si="18"/>
        <v/>
      </c>
      <c r="H157" s="55" t="str">
        <f t="shared" si="19"/>
        <v/>
      </c>
      <c r="I157" s="56" t="str">
        <f t="shared" si="20"/>
        <v/>
      </c>
    </row>
    <row r="158" spans="1:9" s="34" customFormat="1" ht="12.5" x14ac:dyDescent="0.25">
      <c r="A158" s="35"/>
      <c r="B158" s="36"/>
      <c r="C158" s="37"/>
      <c r="D158" s="53" t="str">
        <f t="shared" si="15"/>
        <v/>
      </c>
      <c r="E158" s="54" t="str">
        <f t="shared" si="16"/>
        <v/>
      </c>
      <c r="F158" s="54" t="str">
        <f t="shared" si="17"/>
        <v/>
      </c>
      <c r="G158" s="55" t="str">
        <f t="shared" si="18"/>
        <v/>
      </c>
      <c r="H158" s="55" t="str">
        <f t="shared" si="19"/>
        <v/>
      </c>
      <c r="I158" s="56" t="str">
        <f t="shared" si="20"/>
        <v/>
      </c>
    </row>
    <row r="159" spans="1:9" s="34" customFormat="1" ht="12.5" x14ac:dyDescent="0.25">
      <c r="A159" s="35"/>
      <c r="B159" s="36"/>
      <c r="C159" s="37"/>
      <c r="D159" s="53" t="str">
        <f t="shared" si="15"/>
        <v/>
      </c>
      <c r="E159" s="54" t="str">
        <f t="shared" si="16"/>
        <v/>
      </c>
      <c r="F159" s="54" t="str">
        <f t="shared" si="17"/>
        <v/>
      </c>
      <c r="G159" s="55" t="str">
        <f t="shared" si="18"/>
        <v/>
      </c>
      <c r="H159" s="55" t="str">
        <f t="shared" si="19"/>
        <v/>
      </c>
      <c r="I159" s="56" t="str">
        <f t="shared" si="20"/>
        <v/>
      </c>
    </row>
    <row r="160" spans="1:9" s="34" customFormat="1" ht="12.5" x14ac:dyDescent="0.25">
      <c r="A160" s="35"/>
      <c r="B160" s="36"/>
      <c r="C160" s="37"/>
      <c r="D160" s="53" t="str">
        <f t="shared" si="15"/>
        <v/>
      </c>
      <c r="E160" s="54" t="str">
        <f t="shared" si="16"/>
        <v/>
      </c>
      <c r="F160" s="54" t="str">
        <f t="shared" si="17"/>
        <v/>
      </c>
      <c r="G160" s="55" t="str">
        <f t="shared" si="18"/>
        <v/>
      </c>
      <c r="H160" s="55" t="str">
        <f t="shared" si="19"/>
        <v/>
      </c>
      <c r="I160" s="56" t="str">
        <f t="shared" si="20"/>
        <v/>
      </c>
    </row>
    <row r="161" spans="1:9" s="34" customFormat="1" ht="12.5" x14ac:dyDescent="0.25">
      <c r="A161" s="35"/>
      <c r="B161" s="36"/>
      <c r="C161" s="37"/>
      <c r="D161" s="53" t="str">
        <f t="shared" si="15"/>
        <v/>
      </c>
      <c r="E161" s="54" t="str">
        <f t="shared" si="16"/>
        <v/>
      </c>
      <c r="F161" s="54" t="str">
        <f t="shared" si="17"/>
        <v/>
      </c>
      <c r="G161" s="55" t="str">
        <f t="shared" si="18"/>
        <v/>
      </c>
      <c r="H161" s="55" t="str">
        <f t="shared" si="19"/>
        <v/>
      </c>
      <c r="I161" s="56" t="str">
        <f t="shared" si="20"/>
        <v/>
      </c>
    </row>
    <row r="162" spans="1:9" s="34" customFormat="1" ht="12.5" x14ac:dyDescent="0.25">
      <c r="A162" s="35"/>
      <c r="B162" s="36"/>
      <c r="C162" s="37"/>
      <c r="D162" s="53" t="str">
        <f t="shared" si="15"/>
        <v/>
      </c>
      <c r="E162" s="54" t="str">
        <f t="shared" si="16"/>
        <v/>
      </c>
      <c r="F162" s="54" t="str">
        <f t="shared" si="17"/>
        <v/>
      </c>
      <c r="G162" s="55" t="str">
        <f t="shared" si="18"/>
        <v/>
      </c>
      <c r="H162" s="55" t="str">
        <f t="shared" si="19"/>
        <v/>
      </c>
      <c r="I162" s="56" t="str">
        <f t="shared" si="20"/>
        <v/>
      </c>
    </row>
    <row r="163" spans="1:9" s="34" customFormat="1" ht="12.5" x14ac:dyDescent="0.25">
      <c r="A163" s="35"/>
      <c r="B163" s="36"/>
      <c r="C163" s="37"/>
      <c r="D163" s="53" t="str">
        <f t="shared" si="15"/>
        <v/>
      </c>
      <c r="E163" s="54" t="str">
        <f t="shared" si="16"/>
        <v/>
      </c>
      <c r="F163" s="54" t="str">
        <f t="shared" si="17"/>
        <v/>
      </c>
      <c r="G163" s="55" t="str">
        <f t="shared" si="18"/>
        <v/>
      </c>
      <c r="H163" s="55" t="str">
        <f t="shared" si="19"/>
        <v/>
      </c>
      <c r="I163" s="56" t="str">
        <f t="shared" si="20"/>
        <v/>
      </c>
    </row>
    <row r="164" spans="1:9" s="34" customFormat="1" ht="12.5" x14ac:dyDescent="0.25">
      <c r="A164" s="35"/>
      <c r="B164" s="36"/>
      <c r="C164" s="37"/>
      <c r="D164" s="53" t="str">
        <f t="shared" si="15"/>
        <v/>
      </c>
      <c r="E164" s="54" t="str">
        <f t="shared" si="16"/>
        <v/>
      </c>
      <c r="F164" s="54" t="str">
        <f t="shared" si="17"/>
        <v/>
      </c>
      <c r="G164" s="55" t="str">
        <f t="shared" si="18"/>
        <v/>
      </c>
      <c r="H164" s="55" t="str">
        <f t="shared" si="19"/>
        <v/>
      </c>
      <c r="I164" s="56" t="str">
        <f t="shared" si="20"/>
        <v/>
      </c>
    </row>
    <row r="165" spans="1:9" s="34" customFormat="1" ht="12.5" x14ac:dyDescent="0.25">
      <c r="A165" s="35"/>
      <c r="B165" s="36"/>
      <c r="C165" s="37"/>
      <c r="D165" s="53" t="str">
        <f t="shared" si="15"/>
        <v/>
      </c>
      <c r="E165" s="54" t="str">
        <f t="shared" si="16"/>
        <v/>
      </c>
      <c r="F165" s="54" t="str">
        <f t="shared" si="17"/>
        <v/>
      </c>
      <c r="G165" s="55" t="str">
        <f t="shared" si="18"/>
        <v/>
      </c>
      <c r="H165" s="55" t="str">
        <f t="shared" si="19"/>
        <v/>
      </c>
      <c r="I165" s="56" t="str">
        <f t="shared" si="20"/>
        <v/>
      </c>
    </row>
    <row r="166" spans="1:9" s="34" customFormat="1" ht="12.5" x14ac:dyDescent="0.25">
      <c r="A166" s="35"/>
      <c r="B166" s="36"/>
      <c r="C166" s="37"/>
      <c r="D166" s="53" t="str">
        <f t="shared" si="15"/>
        <v/>
      </c>
      <c r="E166" s="54" t="str">
        <f t="shared" si="16"/>
        <v/>
      </c>
      <c r="F166" s="54" t="str">
        <f t="shared" si="17"/>
        <v/>
      </c>
      <c r="G166" s="55" t="str">
        <f t="shared" si="18"/>
        <v/>
      </c>
      <c r="H166" s="55" t="str">
        <f t="shared" si="19"/>
        <v/>
      </c>
      <c r="I166" s="56" t="str">
        <f t="shared" si="20"/>
        <v/>
      </c>
    </row>
    <row r="167" spans="1:9" s="34" customFormat="1" ht="12.5" x14ac:dyDescent="0.25">
      <c r="A167" s="35"/>
      <c r="B167" s="36"/>
      <c r="C167" s="37"/>
      <c r="D167" s="53" t="str">
        <f t="shared" si="15"/>
        <v/>
      </c>
      <c r="E167" s="54" t="str">
        <f t="shared" si="16"/>
        <v/>
      </c>
      <c r="F167" s="54" t="str">
        <f t="shared" si="17"/>
        <v/>
      </c>
      <c r="G167" s="55" t="str">
        <f t="shared" si="18"/>
        <v/>
      </c>
      <c r="H167" s="55" t="str">
        <f t="shared" si="19"/>
        <v/>
      </c>
      <c r="I167" s="56" t="str">
        <f t="shared" si="20"/>
        <v/>
      </c>
    </row>
    <row r="168" spans="1:9" s="34" customFormat="1" ht="12.5" x14ac:dyDescent="0.25">
      <c r="A168" s="35"/>
      <c r="B168" s="36"/>
      <c r="C168" s="37"/>
      <c r="D168" s="53" t="str">
        <f t="shared" si="15"/>
        <v/>
      </c>
      <c r="E168" s="54" t="str">
        <f t="shared" si="16"/>
        <v/>
      </c>
      <c r="F168" s="54" t="str">
        <f t="shared" si="17"/>
        <v/>
      </c>
      <c r="G168" s="55" t="str">
        <f t="shared" si="18"/>
        <v/>
      </c>
      <c r="H168" s="55" t="str">
        <f t="shared" si="19"/>
        <v/>
      </c>
      <c r="I168" s="56" t="str">
        <f t="shared" si="20"/>
        <v/>
      </c>
    </row>
    <row r="169" spans="1:9" s="34" customFormat="1" ht="12.5" x14ac:dyDescent="0.25">
      <c r="A169" s="35"/>
      <c r="B169" s="36"/>
      <c r="C169" s="37"/>
      <c r="D169" s="53" t="str">
        <f t="shared" si="15"/>
        <v/>
      </c>
      <c r="E169" s="54" t="str">
        <f t="shared" si="16"/>
        <v/>
      </c>
      <c r="F169" s="54" t="str">
        <f t="shared" si="17"/>
        <v/>
      </c>
      <c r="G169" s="55" t="str">
        <f t="shared" si="18"/>
        <v/>
      </c>
      <c r="H169" s="55" t="str">
        <f t="shared" si="19"/>
        <v/>
      </c>
      <c r="I169" s="56" t="str">
        <f t="shared" si="20"/>
        <v/>
      </c>
    </row>
    <row r="170" spans="1:9" s="34" customFormat="1" ht="12.5" x14ac:dyDescent="0.25">
      <c r="A170" s="35"/>
      <c r="B170" s="36"/>
      <c r="C170" s="37"/>
      <c r="D170" s="53" t="str">
        <f t="shared" si="15"/>
        <v/>
      </c>
      <c r="E170" s="54" t="str">
        <f t="shared" si="16"/>
        <v/>
      </c>
      <c r="F170" s="54" t="str">
        <f t="shared" si="17"/>
        <v/>
      </c>
      <c r="G170" s="55" t="str">
        <f t="shared" si="18"/>
        <v/>
      </c>
      <c r="H170" s="55" t="str">
        <f t="shared" si="19"/>
        <v/>
      </c>
      <c r="I170" s="56" t="str">
        <f t="shared" si="20"/>
        <v/>
      </c>
    </row>
    <row r="171" spans="1:9" s="34" customFormat="1" ht="12.5" x14ac:dyDescent="0.25">
      <c r="A171" s="35"/>
      <c r="B171" s="36"/>
      <c r="C171" s="37"/>
      <c r="D171" s="53" t="str">
        <f t="shared" si="15"/>
        <v/>
      </c>
      <c r="E171" s="54" t="str">
        <f t="shared" si="16"/>
        <v/>
      </c>
      <c r="F171" s="54" t="str">
        <f t="shared" si="17"/>
        <v/>
      </c>
      <c r="G171" s="55" t="str">
        <f t="shared" si="18"/>
        <v/>
      </c>
      <c r="H171" s="55" t="str">
        <f t="shared" si="19"/>
        <v/>
      </c>
      <c r="I171" s="56" t="str">
        <f t="shared" si="20"/>
        <v/>
      </c>
    </row>
    <row r="172" spans="1:9" s="34" customFormat="1" ht="12.5" x14ac:dyDescent="0.25">
      <c r="A172" s="35"/>
      <c r="B172" s="36"/>
      <c r="C172" s="37"/>
      <c r="D172" s="53" t="str">
        <f t="shared" si="15"/>
        <v/>
      </c>
      <c r="E172" s="54" t="str">
        <f t="shared" si="16"/>
        <v/>
      </c>
      <c r="F172" s="54" t="str">
        <f t="shared" si="17"/>
        <v/>
      </c>
      <c r="G172" s="55" t="str">
        <f t="shared" si="18"/>
        <v/>
      </c>
      <c r="H172" s="55" t="str">
        <f t="shared" si="19"/>
        <v/>
      </c>
      <c r="I172" s="56" t="str">
        <f t="shared" si="20"/>
        <v/>
      </c>
    </row>
    <row r="173" spans="1:9" s="34" customFormat="1" ht="12.5" x14ac:dyDescent="0.25">
      <c r="A173" s="35"/>
      <c r="B173" s="36"/>
      <c r="C173" s="37"/>
      <c r="D173" s="53" t="str">
        <f t="shared" si="15"/>
        <v/>
      </c>
      <c r="E173" s="54" t="str">
        <f t="shared" si="16"/>
        <v/>
      </c>
      <c r="F173" s="54" t="str">
        <f t="shared" si="17"/>
        <v/>
      </c>
      <c r="G173" s="55" t="str">
        <f t="shared" si="18"/>
        <v/>
      </c>
      <c r="H173" s="55" t="str">
        <f t="shared" si="19"/>
        <v/>
      </c>
      <c r="I173" s="56" t="str">
        <f t="shared" si="20"/>
        <v/>
      </c>
    </row>
    <row r="174" spans="1:9" s="34" customFormat="1" ht="12.5" x14ac:dyDescent="0.25">
      <c r="A174" s="35"/>
      <c r="B174" s="36"/>
      <c r="C174" s="37"/>
      <c r="D174" s="53" t="str">
        <f t="shared" si="15"/>
        <v/>
      </c>
      <c r="E174" s="54" t="str">
        <f t="shared" si="16"/>
        <v/>
      </c>
      <c r="F174" s="54" t="str">
        <f t="shared" si="17"/>
        <v/>
      </c>
      <c r="G174" s="55" t="str">
        <f t="shared" si="18"/>
        <v/>
      </c>
      <c r="H174" s="55" t="str">
        <f t="shared" si="19"/>
        <v/>
      </c>
      <c r="I174" s="56" t="str">
        <f t="shared" si="20"/>
        <v/>
      </c>
    </row>
    <row r="175" spans="1:9" s="34" customFormat="1" ht="12.5" x14ac:dyDescent="0.25">
      <c r="A175" s="35"/>
      <c r="B175" s="36"/>
      <c r="C175" s="37"/>
      <c r="D175" s="53" t="str">
        <f t="shared" si="15"/>
        <v/>
      </c>
      <c r="E175" s="54" t="str">
        <f t="shared" si="16"/>
        <v/>
      </c>
      <c r="F175" s="54" t="str">
        <f t="shared" si="17"/>
        <v/>
      </c>
      <c r="G175" s="55" t="str">
        <f t="shared" si="18"/>
        <v/>
      </c>
      <c r="H175" s="55" t="str">
        <f t="shared" si="19"/>
        <v/>
      </c>
      <c r="I175" s="56" t="str">
        <f t="shared" si="20"/>
        <v/>
      </c>
    </row>
    <row r="176" spans="1:9" s="34" customFormat="1" ht="12.5" x14ac:dyDescent="0.25">
      <c r="A176" s="35"/>
      <c r="B176" s="36"/>
      <c r="C176" s="37"/>
      <c r="D176" s="53" t="str">
        <f t="shared" si="15"/>
        <v/>
      </c>
      <c r="E176" s="54" t="str">
        <f t="shared" si="16"/>
        <v/>
      </c>
      <c r="F176" s="54" t="str">
        <f t="shared" si="17"/>
        <v/>
      </c>
      <c r="G176" s="55" t="str">
        <f t="shared" si="18"/>
        <v/>
      </c>
      <c r="H176" s="55" t="str">
        <f t="shared" si="19"/>
        <v/>
      </c>
      <c r="I176" s="56" t="str">
        <f t="shared" si="20"/>
        <v/>
      </c>
    </row>
    <row r="177" spans="1:9" s="34" customFormat="1" ht="12.5" x14ac:dyDescent="0.25">
      <c r="A177" s="35"/>
      <c r="B177" s="36"/>
      <c r="C177" s="37"/>
      <c r="D177" s="53" t="str">
        <f t="shared" si="15"/>
        <v/>
      </c>
      <c r="E177" s="54" t="str">
        <f t="shared" si="16"/>
        <v/>
      </c>
      <c r="F177" s="54" t="str">
        <f t="shared" si="17"/>
        <v/>
      </c>
      <c r="G177" s="55" t="str">
        <f t="shared" si="18"/>
        <v/>
      </c>
      <c r="H177" s="55" t="str">
        <f t="shared" si="19"/>
        <v/>
      </c>
      <c r="I177" s="56" t="str">
        <f t="shared" si="20"/>
        <v/>
      </c>
    </row>
    <row r="178" spans="1:9" s="34" customFormat="1" ht="12.5" x14ac:dyDescent="0.25">
      <c r="A178" s="35"/>
      <c r="B178" s="36"/>
      <c r="C178" s="37"/>
      <c r="D178" s="53" t="str">
        <f t="shared" si="15"/>
        <v/>
      </c>
      <c r="E178" s="54" t="str">
        <f t="shared" si="16"/>
        <v/>
      </c>
      <c r="F178" s="54" t="str">
        <f t="shared" si="17"/>
        <v/>
      </c>
      <c r="G178" s="55" t="str">
        <f t="shared" si="18"/>
        <v/>
      </c>
      <c r="H178" s="55" t="str">
        <f t="shared" si="19"/>
        <v/>
      </c>
      <c r="I178" s="56" t="str">
        <f t="shared" si="20"/>
        <v/>
      </c>
    </row>
    <row r="179" spans="1:9" s="34" customFormat="1" ht="12.5" x14ac:dyDescent="0.25">
      <c r="A179" s="35"/>
      <c r="B179" s="36"/>
      <c r="C179" s="37"/>
      <c r="D179" s="53" t="str">
        <f t="shared" si="15"/>
        <v/>
      </c>
      <c r="E179" s="54" t="str">
        <f t="shared" si="16"/>
        <v/>
      </c>
      <c r="F179" s="54" t="str">
        <f t="shared" si="17"/>
        <v/>
      </c>
      <c r="G179" s="55" t="str">
        <f t="shared" si="18"/>
        <v/>
      </c>
      <c r="H179" s="55" t="str">
        <f t="shared" si="19"/>
        <v/>
      </c>
      <c r="I179" s="56" t="str">
        <f t="shared" si="20"/>
        <v/>
      </c>
    </row>
    <row r="180" spans="1:9" s="34" customFormat="1" ht="12.5" x14ac:dyDescent="0.25">
      <c r="A180" s="35"/>
      <c r="B180" s="36"/>
      <c r="C180" s="37"/>
      <c r="D180" s="53" t="str">
        <f t="shared" si="15"/>
        <v/>
      </c>
      <c r="E180" s="54" t="str">
        <f t="shared" si="16"/>
        <v/>
      </c>
      <c r="F180" s="54" t="str">
        <f t="shared" si="17"/>
        <v/>
      </c>
      <c r="G180" s="55" t="str">
        <f t="shared" si="18"/>
        <v/>
      </c>
      <c r="H180" s="55" t="str">
        <f t="shared" si="19"/>
        <v/>
      </c>
      <c r="I180" s="56" t="str">
        <f t="shared" si="20"/>
        <v/>
      </c>
    </row>
    <row r="181" spans="1:9" s="34" customFormat="1" ht="12.5" x14ac:dyDescent="0.25">
      <c r="A181" s="35"/>
      <c r="B181" s="36"/>
      <c r="C181" s="37"/>
      <c r="D181" s="53" t="str">
        <f t="shared" si="15"/>
        <v/>
      </c>
      <c r="E181" s="54" t="str">
        <f t="shared" si="16"/>
        <v/>
      </c>
      <c r="F181" s="54" t="str">
        <f t="shared" si="17"/>
        <v/>
      </c>
      <c r="G181" s="55" t="str">
        <f t="shared" si="18"/>
        <v/>
      </c>
      <c r="H181" s="55" t="str">
        <f t="shared" si="19"/>
        <v/>
      </c>
      <c r="I181" s="56" t="str">
        <f t="shared" si="20"/>
        <v/>
      </c>
    </row>
    <row r="182" spans="1:9" s="34" customFormat="1" ht="12.5" x14ac:dyDescent="0.25">
      <c r="A182" s="35"/>
      <c r="B182" s="36"/>
      <c r="C182" s="37"/>
      <c r="D182" s="53" t="str">
        <f t="shared" si="15"/>
        <v/>
      </c>
      <c r="E182" s="54" t="str">
        <f t="shared" si="16"/>
        <v/>
      </c>
      <c r="F182" s="54" t="str">
        <f t="shared" si="17"/>
        <v/>
      </c>
      <c r="G182" s="55" t="str">
        <f t="shared" si="18"/>
        <v/>
      </c>
      <c r="H182" s="55" t="str">
        <f t="shared" si="19"/>
        <v/>
      </c>
      <c r="I182" s="56" t="str">
        <f t="shared" si="20"/>
        <v/>
      </c>
    </row>
    <row r="183" spans="1:9" s="34" customFormat="1" ht="12.5" x14ac:dyDescent="0.25">
      <c r="A183" s="35"/>
      <c r="B183" s="36"/>
      <c r="C183" s="37"/>
      <c r="D183" s="53" t="str">
        <f t="shared" si="15"/>
        <v/>
      </c>
      <c r="E183" s="54" t="str">
        <f t="shared" si="16"/>
        <v/>
      </c>
      <c r="F183" s="54" t="str">
        <f t="shared" si="17"/>
        <v/>
      </c>
      <c r="G183" s="55" t="str">
        <f t="shared" si="18"/>
        <v/>
      </c>
      <c r="H183" s="55" t="str">
        <f t="shared" si="19"/>
        <v/>
      </c>
      <c r="I183" s="56" t="str">
        <f t="shared" si="20"/>
        <v/>
      </c>
    </row>
    <row r="184" spans="1:9" s="34" customFormat="1" ht="12.5" x14ac:dyDescent="0.25">
      <c r="A184" s="35"/>
      <c r="B184" s="36"/>
      <c r="C184" s="37"/>
      <c r="D184" s="53" t="str">
        <f t="shared" si="15"/>
        <v/>
      </c>
      <c r="E184" s="54" t="str">
        <f t="shared" si="16"/>
        <v/>
      </c>
      <c r="F184" s="54" t="str">
        <f t="shared" si="17"/>
        <v/>
      </c>
      <c r="G184" s="55" t="str">
        <f t="shared" si="18"/>
        <v/>
      </c>
      <c r="H184" s="55" t="str">
        <f t="shared" si="19"/>
        <v/>
      </c>
      <c r="I184" s="56" t="str">
        <f t="shared" si="20"/>
        <v/>
      </c>
    </row>
    <row r="185" spans="1:9" s="34" customFormat="1" ht="12.5" x14ac:dyDescent="0.25">
      <c r="A185" s="35"/>
      <c r="B185" s="36"/>
      <c r="C185" s="37"/>
      <c r="D185" s="53" t="str">
        <f t="shared" si="15"/>
        <v/>
      </c>
      <c r="E185" s="54" t="str">
        <f t="shared" si="16"/>
        <v/>
      </c>
      <c r="F185" s="54" t="str">
        <f t="shared" si="17"/>
        <v/>
      </c>
      <c r="G185" s="55" t="str">
        <f t="shared" si="18"/>
        <v/>
      </c>
      <c r="H185" s="55" t="str">
        <f t="shared" si="19"/>
        <v/>
      </c>
      <c r="I185" s="56" t="str">
        <f t="shared" si="20"/>
        <v/>
      </c>
    </row>
    <row r="186" spans="1:9" s="34" customFormat="1" ht="12.5" x14ac:dyDescent="0.25">
      <c r="A186" s="35"/>
      <c r="B186" s="36"/>
      <c r="C186" s="37"/>
      <c r="D186" s="53" t="str">
        <f t="shared" si="15"/>
        <v/>
      </c>
      <c r="E186" s="54" t="str">
        <f t="shared" si="16"/>
        <v/>
      </c>
      <c r="F186" s="54" t="str">
        <f t="shared" si="17"/>
        <v/>
      </c>
      <c r="G186" s="55" t="str">
        <f t="shared" si="18"/>
        <v/>
      </c>
      <c r="H186" s="55" t="str">
        <f t="shared" si="19"/>
        <v/>
      </c>
      <c r="I186" s="56" t="str">
        <f t="shared" si="20"/>
        <v/>
      </c>
    </row>
    <row r="187" spans="1:9" s="34" customFormat="1" ht="12.5" x14ac:dyDescent="0.25">
      <c r="A187" s="35"/>
      <c r="B187" s="36"/>
      <c r="C187" s="37"/>
      <c r="D187" s="53" t="str">
        <f t="shared" si="15"/>
        <v/>
      </c>
      <c r="E187" s="54" t="str">
        <f t="shared" si="16"/>
        <v/>
      </c>
      <c r="F187" s="54" t="str">
        <f t="shared" si="17"/>
        <v/>
      </c>
      <c r="G187" s="55" t="str">
        <f t="shared" si="18"/>
        <v/>
      </c>
      <c r="H187" s="55" t="str">
        <f t="shared" si="19"/>
        <v/>
      </c>
      <c r="I187" s="56" t="str">
        <f t="shared" si="20"/>
        <v/>
      </c>
    </row>
    <row r="188" spans="1:9" s="34" customFormat="1" ht="12.5" x14ac:dyDescent="0.25">
      <c r="A188" s="35"/>
      <c r="B188" s="36"/>
      <c r="C188" s="37"/>
      <c r="D188" s="53" t="str">
        <f t="shared" si="15"/>
        <v/>
      </c>
      <c r="E188" s="54" t="str">
        <f t="shared" si="16"/>
        <v/>
      </c>
      <c r="F188" s="54" t="str">
        <f t="shared" si="17"/>
        <v/>
      </c>
      <c r="G188" s="55" t="str">
        <f t="shared" si="18"/>
        <v/>
      </c>
      <c r="H188" s="55" t="str">
        <f t="shared" si="19"/>
        <v/>
      </c>
      <c r="I188" s="56" t="str">
        <f t="shared" si="20"/>
        <v/>
      </c>
    </row>
    <row r="189" spans="1:9" s="34" customFormat="1" ht="12.5" x14ac:dyDescent="0.25">
      <c r="A189" s="35"/>
      <c r="B189" s="36"/>
      <c r="C189" s="37"/>
      <c r="D189" s="53" t="str">
        <f t="shared" si="15"/>
        <v/>
      </c>
      <c r="E189" s="54" t="str">
        <f t="shared" si="16"/>
        <v/>
      </c>
      <c r="F189" s="54" t="str">
        <f t="shared" si="17"/>
        <v/>
      </c>
      <c r="G189" s="55" t="str">
        <f t="shared" si="18"/>
        <v/>
      </c>
      <c r="H189" s="55" t="str">
        <f t="shared" si="19"/>
        <v/>
      </c>
      <c r="I189" s="56" t="str">
        <f t="shared" si="20"/>
        <v/>
      </c>
    </row>
    <row r="190" spans="1:9" s="34" customFormat="1" ht="12.5" x14ac:dyDescent="0.25">
      <c r="A190" s="35"/>
      <c r="B190" s="36"/>
      <c r="C190" s="37"/>
      <c r="D190" s="53" t="str">
        <f t="shared" si="15"/>
        <v/>
      </c>
      <c r="E190" s="54" t="str">
        <f t="shared" si="16"/>
        <v/>
      </c>
      <c r="F190" s="54" t="str">
        <f t="shared" si="17"/>
        <v/>
      </c>
      <c r="G190" s="55" t="str">
        <f t="shared" si="18"/>
        <v/>
      </c>
      <c r="H190" s="55" t="str">
        <f t="shared" si="19"/>
        <v/>
      </c>
      <c r="I190" s="56" t="str">
        <f t="shared" si="20"/>
        <v/>
      </c>
    </row>
    <row r="191" spans="1:9" s="34" customFormat="1" ht="12.5" x14ac:dyDescent="0.25">
      <c r="A191" s="35"/>
      <c r="B191" s="36"/>
      <c r="C191" s="37"/>
      <c r="D191" s="53" t="str">
        <f t="shared" si="15"/>
        <v/>
      </c>
      <c r="E191" s="54" t="str">
        <f t="shared" si="16"/>
        <v/>
      </c>
      <c r="F191" s="54" t="str">
        <f t="shared" si="17"/>
        <v/>
      </c>
      <c r="G191" s="55" t="str">
        <f t="shared" si="18"/>
        <v/>
      </c>
      <c r="H191" s="55" t="str">
        <f t="shared" si="19"/>
        <v/>
      </c>
      <c r="I191" s="56" t="str">
        <f t="shared" si="20"/>
        <v/>
      </c>
    </row>
    <row r="192" spans="1:9" s="34" customFormat="1" ht="12.5" x14ac:dyDescent="0.25">
      <c r="A192" s="35"/>
      <c r="B192" s="36"/>
      <c r="C192" s="37"/>
      <c r="D192" s="53" t="str">
        <f t="shared" si="15"/>
        <v/>
      </c>
      <c r="E192" s="54" t="str">
        <f t="shared" si="16"/>
        <v/>
      </c>
      <c r="F192" s="54" t="str">
        <f t="shared" si="17"/>
        <v/>
      </c>
      <c r="G192" s="55" t="str">
        <f t="shared" si="18"/>
        <v/>
      </c>
      <c r="H192" s="55" t="str">
        <f t="shared" si="19"/>
        <v/>
      </c>
      <c r="I192" s="56" t="str">
        <f t="shared" si="20"/>
        <v/>
      </c>
    </row>
    <row r="193" spans="1:9" s="34" customFormat="1" ht="12.5" x14ac:dyDescent="0.25">
      <c r="A193" s="35"/>
      <c r="B193" s="36"/>
      <c r="C193" s="37"/>
      <c r="D193" s="53" t="str">
        <f t="shared" si="15"/>
        <v/>
      </c>
      <c r="E193" s="54" t="str">
        <f t="shared" si="16"/>
        <v/>
      </c>
      <c r="F193" s="54" t="str">
        <f t="shared" si="17"/>
        <v/>
      </c>
      <c r="G193" s="55" t="str">
        <f t="shared" si="18"/>
        <v/>
      </c>
      <c r="H193" s="55" t="str">
        <f t="shared" si="19"/>
        <v/>
      </c>
      <c r="I193" s="56" t="str">
        <f t="shared" si="20"/>
        <v/>
      </c>
    </row>
    <row r="194" spans="1:9" s="34" customFormat="1" ht="12.5" x14ac:dyDescent="0.25">
      <c r="A194" s="35"/>
      <c r="B194" s="36"/>
      <c r="C194" s="37"/>
      <c r="D194" s="53" t="str">
        <f t="shared" si="15"/>
        <v/>
      </c>
      <c r="E194" s="54" t="str">
        <f t="shared" si="16"/>
        <v/>
      </c>
      <c r="F194" s="54" t="str">
        <f t="shared" si="17"/>
        <v/>
      </c>
      <c r="G194" s="55" t="str">
        <f t="shared" si="18"/>
        <v/>
      </c>
      <c r="H194" s="55" t="str">
        <f t="shared" si="19"/>
        <v/>
      </c>
      <c r="I194" s="56" t="str">
        <f t="shared" si="20"/>
        <v/>
      </c>
    </row>
    <row r="195" spans="1:9" s="34" customFormat="1" ht="12.5" x14ac:dyDescent="0.25">
      <c r="A195" s="35"/>
      <c r="B195" s="36"/>
      <c r="C195" s="37"/>
      <c r="D195" s="53" t="str">
        <f t="shared" si="15"/>
        <v/>
      </c>
      <c r="E195" s="54" t="str">
        <f t="shared" si="16"/>
        <v/>
      </c>
      <c r="F195" s="54" t="str">
        <f t="shared" si="17"/>
        <v/>
      </c>
      <c r="G195" s="55" t="str">
        <f t="shared" si="18"/>
        <v/>
      </c>
      <c r="H195" s="55" t="str">
        <f t="shared" si="19"/>
        <v/>
      </c>
      <c r="I195" s="56" t="str">
        <f t="shared" si="20"/>
        <v/>
      </c>
    </row>
    <row r="196" spans="1:9" s="34" customFormat="1" ht="12.5" x14ac:dyDescent="0.25">
      <c r="A196" s="35"/>
      <c r="B196" s="36"/>
      <c r="C196" s="37"/>
      <c r="D196" s="53" t="str">
        <f t="shared" si="15"/>
        <v/>
      </c>
      <c r="E196" s="54" t="str">
        <f t="shared" si="16"/>
        <v/>
      </c>
      <c r="F196" s="54" t="str">
        <f t="shared" si="17"/>
        <v/>
      </c>
      <c r="G196" s="55" t="str">
        <f t="shared" si="18"/>
        <v/>
      </c>
      <c r="H196" s="55" t="str">
        <f t="shared" si="19"/>
        <v/>
      </c>
      <c r="I196" s="56" t="str">
        <f t="shared" si="20"/>
        <v/>
      </c>
    </row>
    <row r="197" spans="1:9" s="34" customFormat="1" ht="12.5" x14ac:dyDescent="0.25">
      <c r="A197" s="35"/>
      <c r="B197" s="36"/>
      <c r="C197" s="37"/>
      <c r="D197" s="53" t="str">
        <f t="shared" si="15"/>
        <v/>
      </c>
      <c r="E197" s="54" t="str">
        <f t="shared" si="16"/>
        <v/>
      </c>
      <c r="F197" s="54" t="str">
        <f t="shared" si="17"/>
        <v/>
      </c>
      <c r="G197" s="55" t="str">
        <f t="shared" si="18"/>
        <v/>
      </c>
      <c r="H197" s="55" t="str">
        <f t="shared" si="19"/>
        <v/>
      </c>
      <c r="I197" s="56" t="str">
        <f t="shared" si="20"/>
        <v/>
      </c>
    </row>
    <row r="198" spans="1:9" s="34" customFormat="1" ht="12.5" x14ac:dyDescent="0.25">
      <c r="A198" s="35"/>
      <c r="B198" s="36"/>
      <c r="C198" s="37"/>
      <c r="D198" s="53" t="str">
        <f t="shared" si="15"/>
        <v/>
      </c>
      <c r="E198" s="54" t="str">
        <f t="shared" si="16"/>
        <v/>
      </c>
      <c r="F198" s="54" t="str">
        <f t="shared" si="17"/>
        <v/>
      </c>
      <c r="G198" s="55" t="str">
        <f t="shared" si="18"/>
        <v/>
      </c>
      <c r="H198" s="55" t="str">
        <f t="shared" si="19"/>
        <v/>
      </c>
      <c r="I198" s="56" t="str">
        <f t="shared" si="20"/>
        <v/>
      </c>
    </row>
    <row r="199" spans="1:9" s="34" customFormat="1" ht="12.5" x14ac:dyDescent="0.25">
      <c r="A199" s="35"/>
      <c r="B199" s="36"/>
      <c r="C199" s="37"/>
      <c r="D199" s="53" t="str">
        <f t="shared" si="15"/>
        <v/>
      </c>
      <c r="E199" s="54" t="str">
        <f t="shared" si="16"/>
        <v/>
      </c>
      <c r="F199" s="54" t="str">
        <f t="shared" si="17"/>
        <v/>
      </c>
      <c r="G199" s="55" t="str">
        <f t="shared" si="18"/>
        <v/>
      </c>
      <c r="H199" s="55" t="str">
        <f t="shared" si="19"/>
        <v/>
      </c>
      <c r="I199" s="56" t="str">
        <f t="shared" si="20"/>
        <v/>
      </c>
    </row>
    <row r="200" spans="1:9" s="34" customFormat="1" ht="12.5" x14ac:dyDescent="0.25">
      <c r="A200" s="35"/>
      <c r="B200" s="36"/>
      <c r="C200" s="37"/>
      <c r="D200" s="53" t="str">
        <f t="shared" si="15"/>
        <v/>
      </c>
      <c r="E200" s="54" t="str">
        <f t="shared" si="16"/>
        <v/>
      </c>
      <c r="F200" s="54" t="str">
        <f t="shared" si="17"/>
        <v/>
      </c>
      <c r="G200" s="55" t="str">
        <f t="shared" si="18"/>
        <v/>
      </c>
      <c r="H200" s="55" t="str">
        <f t="shared" si="19"/>
        <v/>
      </c>
      <c r="I200" s="56" t="str">
        <f t="shared" si="20"/>
        <v/>
      </c>
    </row>
    <row r="201" spans="1:9" s="34" customFormat="1" ht="13" thickBot="1" x14ac:dyDescent="0.3">
      <c r="A201" s="38"/>
      <c r="B201" s="39"/>
      <c r="C201" s="40"/>
      <c r="D201" s="57" t="str">
        <f t="shared" si="15"/>
        <v/>
      </c>
      <c r="E201" s="58" t="str">
        <f t="shared" si="16"/>
        <v/>
      </c>
      <c r="F201" s="58" t="str">
        <f t="shared" si="17"/>
        <v/>
      </c>
      <c r="G201" s="59" t="str">
        <f t="shared" si="18"/>
        <v/>
      </c>
      <c r="H201" s="59" t="str">
        <f t="shared" si="19"/>
        <v/>
      </c>
      <c r="I201" s="60" t="str">
        <f t="shared" si="20"/>
        <v/>
      </c>
    </row>
    <row r="202" spans="1:9" s="34" customFormat="1" x14ac:dyDescent="0.25">
      <c r="A202" s="41"/>
      <c r="C202" s="42"/>
      <c r="D202" s="43"/>
      <c r="G202" s="44"/>
      <c r="H202" s="44"/>
      <c r="I202" s="44"/>
    </row>
    <row r="203" spans="1:9" s="34" customFormat="1" x14ac:dyDescent="0.25">
      <c r="A203" s="41"/>
      <c r="C203" s="42"/>
      <c r="D203" s="43"/>
      <c r="G203" s="44"/>
      <c r="H203" s="44"/>
      <c r="I203" s="44"/>
    </row>
    <row r="204" spans="1:9" s="34" customFormat="1" x14ac:dyDescent="0.25">
      <c r="A204" s="41"/>
      <c r="C204" s="42"/>
      <c r="D204" s="43"/>
      <c r="G204" s="44"/>
      <c r="H204" s="44"/>
      <c r="I204" s="44"/>
    </row>
    <row r="205" spans="1:9" s="34" customFormat="1" x14ac:dyDescent="0.25">
      <c r="A205" s="41"/>
      <c r="C205" s="42"/>
      <c r="D205" s="43"/>
      <c r="G205" s="44"/>
      <c r="H205" s="44"/>
      <c r="I205" s="44"/>
    </row>
    <row r="206" spans="1:9" s="34" customFormat="1" x14ac:dyDescent="0.25">
      <c r="A206" s="41"/>
      <c r="C206" s="42"/>
      <c r="D206" s="43"/>
      <c r="G206" s="44"/>
      <c r="H206" s="44"/>
      <c r="I206" s="44"/>
    </row>
    <row r="207" spans="1:9" s="34" customFormat="1" x14ac:dyDescent="0.25">
      <c r="A207" s="41"/>
      <c r="C207" s="42"/>
      <c r="D207" s="43"/>
      <c r="G207" s="44"/>
      <c r="H207" s="44"/>
      <c r="I207" s="44"/>
    </row>
    <row r="208" spans="1:9" s="34" customFormat="1" x14ac:dyDescent="0.25">
      <c r="A208" s="41"/>
      <c r="C208" s="42"/>
      <c r="D208" s="43"/>
      <c r="G208" s="44"/>
      <c r="H208" s="44"/>
      <c r="I208" s="44"/>
    </row>
    <row r="209" spans="1:9" s="34" customFormat="1" x14ac:dyDescent="0.25">
      <c r="A209" s="41"/>
      <c r="C209" s="42"/>
      <c r="D209" s="43"/>
      <c r="G209" s="44"/>
      <c r="H209" s="44"/>
      <c r="I209" s="44"/>
    </row>
    <row r="210" spans="1:9" s="34" customFormat="1" x14ac:dyDescent="0.25">
      <c r="A210" s="41"/>
      <c r="C210" s="42"/>
      <c r="D210" s="43"/>
      <c r="G210" s="44"/>
      <c r="H210" s="44"/>
      <c r="I210" s="44"/>
    </row>
    <row r="211" spans="1:9" s="34" customFormat="1" x14ac:dyDescent="0.25">
      <c r="A211" s="41"/>
      <c r="C211" s="42"/>
      <c r="D211" s="43"/>
      <c r="G211" s="44"/>
      <c r="H211" s="44"/>
      <c r="I211" s="44"/>
    </row>
    <row r="212" spans="1:9" s="34" customFormat="1" x14ac:dyDescent="0.25">
      <c r="A212" s="41"/>
      <c r="C212" s="42"/>
      <c r="D212" s="43"/>
      <c r="G212" s="44"/>
      <c r="H212" s="44"/>
      <c r="I212" s="44"/>
    </row>
    <row r="213" spans="1:9" s="34" customFormat="1" x14ac:dyDescent="0.25">
      <c r="A213" s="41"/>
      <c r="C213" s="42"/>
      <c r="D213" s="43"/>
      <c r="G213" s="44"/>
      <c r="H213" s="44"/>
      <c r="I213" s="44"/>
    </row>
    <row r="214" spans="1:9" s="34" customFormat="1" x14ac:dyDescent="0.25">
      <c r="A214" s="41"/>
      <c r="C214" s="42"/>
      <c r="D214" s="43"/>
      <c r="G214" s="44"/>
      <c r="H214" s="44"/>
      <c r="I214" s="44"/>
    </row>
    <row r="215" spans="1:9" s="34" customFormat="1" x14ac:dyDescent="0.25">
      <c r="A215" s="41"/>
      <c r="C215" s="42"/>
      <c r="D215" s="43"/>
      <c r="G215" s="44"/>
      <c r="H215" s="44"/>
      <c r="I215" s="44"/>
    </row>
    <row r="216" spans="1:9" s="34" customFormat="1" x14ac:dyDescent="0.25">
      <c r="A216" s="41"/>
      <c r="C216" s="42"/>
      <c r="D216" s="43"/>
      <c r="G216" s="44"/>
      <c r="H216" s="44"/>
      <c r="I216" s="44"/>
    </row>
    <row r="217" spans="1:9" s="34" customFormat="1" x14ac:dyDescent="0.25">
      <c r="A217" s="41"/>
      <c r="C217" s="42"/>
      <c r="D217" s="43"/>
      <c r="G217" s="44"/>
      <c r="H217" s="44"/>
      <c r="I217" s="44"/>
    </row>
    <row r="218" spans="1:9" s="34" customFormat="1" x14ac:dyDescent="0.25">
      <c r="A218" s="41"/>
      <c r="C218" s="42"/>
      <c r="D218" s="43"/>
      <c r="G218" s="44"/>
      <c r="H218" s="44"/>
      <c r="I218" s="44"/>
    </row>
    <row r="219" spans="1:9" s="34" customFormat="1" x14ac:dyDescent="0.25">
      <c r="A219" s="41"/>
      <c r="C219" s="42"/>
      <c r="D219" s="43"/>
      <c r="G219" s="44"/>
      <c r="H219" s="44"/>
      <c r="I219" s="44"/>
    </row>
    <row r="220" spans="1:9" s="34" customFormat="1" x14ac:dyDescent="0.25">
      <c r="A220" s="41"/>
      <c r="C220" s="42"/>
      <c r="D220" s="43"/>
      <c r="G220" s="44"/>
      <c r="H220" s="44"/>
      <c r="I220" s="44"/>
    </row>
    <row r="221" spans="1:9" s="34" customFormat="1" x14ac:dyDescent="0.25">
      <c r="A221" s="41"/>
      <c r="C221" s="42"/>
      <c r="D221" s="43"/>
      <c r="G221" s="44"/>
      <c r="H221" s="44"/>
      <c r="I221" s="44"/>
    </row>
    <row r="222" spans="1:9" s="34" customFormat="1" x14ac:dyDescent="0.25">
      <c r="A222" s="41"/>
      <c r="C222" s="42"/>
      <c r="D222" s="43"/>
      <c r="G222" s="44"/>
      <c r="H222" s="44"/>
      <c r="I222" s="44"/>
    </row>
    <row r="223" spans="1:9" s="34" customFormat="1" x14ac:dyDescent="0.25">
      <c r="A223" s="41"/>
      <c r="C223" s="42"/>
      <c r="D223" s="43"/>
      <c r="G223" s="44"/>
      <c r="H223" s="44"/>
      <c r="I223" s="44"/>
    </row>
    <row r="224" spans="1:9" s="34" customFormat="1" x14ac:dyDescent="0.25">
      <c r="A224" s="41"/>
      <c r="C224" s="42"/>
      <c r="D224" s="43"/>
      <c r="G224" s="44"/>
      <c r="H224" s="44"/>
      <c r="I224" s="44"/>
    </row>
    <row r="225" spans="1:9" s="34" customFormat="1" x14ac:dyDescent="0.25">
      <c r="A225" s="41"/>
      <c r="C225" s="42"/>
      <c r="D225" s="43"/>
      <c r="G225" s="44"/>
      <c r="H225" s="44"/>
      <c r="I225" s="44"/>
    </row>
    <row r="226" spans="1:9" s="34" customFormat="1" x14ac:dyDescent="0.25">
      <c r="A226" s="41"/>
      <c r="C226" s="42"/>
      <c r="D226" s="43"/>
      <c r="G226" s="44"/>
      <c r="H226" s="44"/>
      <c r="I226" s="44"/>
    </row>
    <row r="227" spans="1:9" s="34" customFormat="1" x14ac:dyDescent="0.25">
      <c r="A227" s="41"/>
      <c r="C227" s="42"/>
      <c r="D227" s="43"/>
      <c r="G227" s="44"/>
      <c r="H227" s="44"/>
      <c r="I227" s="44"/>
    </row>
    <row r="228" spans="1:9" s="34" customFormat="1" x14ac:dyDescent="0.25">
      <c r="A228" s="41"/>
      <c r="C228" s="42"/>
      <c r="D228" s="43"/>
      <c r="G228" s="44"/>
      <c r="H228" s="44"/>
      <c r="I228" s="44"/>
    </row>
    <row r="229" spans="1:9" s="34" customFormat="1" x14ac:dyDescent="0.25">
      <c r="A229" s="41"/>
      <c r="C229" s="42"/>
      <c r="D229" s="43"/>
      <c r="G229" s="44"/>
      <c r="H229" s="44"/>
      <c r="I229" s="44"/>
    </row>
    <row r="230" spans="1:9" s="34" customFormat="1" x14ac:dyDescent="0.25">
      <c r="A230" s="41"/>
      <c r="C230" s="42"/>
      <c r="D230" s="43"/>
      <c r="G230" s="44"/>
      <c r="H230" s="44"/>
      <c r="I230" s="44"/>
    </row>
    <row r="231" spans="1:9" s="34" customFormat="1" x14ac:dyDescent="0.25">
      <c r="A231" s="41"/>
      <c r="C231" s="42"/>
      <c r="D231" s="43"/>
      <c r="G231" s="44"/>
      <c r="H231" s="44"/>
      <c r="I231" s="44"/>
    </row>
    <row r="232" spans="1:9" s="34" customFormat="1" x14ac:dyDescent="0.25">
      <c r="A232" s="41"/>
      <c r="C232" s="42"/>
      <c r="D232" s="43"/>
      <c r="G232" s="44"/>
      <c r="H232" s="44"/>
      <c r="I232" s="44"/>
    </row>
    <row r="233" spans="1:9" s="34" customFormat="1" x14ac:dyDescent="0.25">
      <c r="A233" s="41"/>
      <c r="C233" s="42"/>
      <c r="D233" s="43"/>
      <c r="G233" s="44"/>
      <c r="H233" s="44"/>
      <c r="I233" s="44"/>
    </row>
    <row r="234" spans="1:9" s="34" customFormat="1" x14ac:dyDescent="0.25">
      <c r="A234" s="41"/>
      <c r="C234" s="42"/>
      <c r="D234" s="43"/>
      <c r="G234" s="44"/>
      <c r="H234" s="44"/>
      <c r="I234" s="44"/>
    </row>
    <row r="235" spans="1:9" s="34" customFormat="1" x14ac:dyDescent="0.25">
      <c r="A235" s="41"/>
      <c r="C235" s="42"/>
      <c r="D235" s="43"/>
      <c r="G235" s="44"/>
      <c r="H235" s="44"/>
      <c r="I235" s="44"/>
    </row>
    <row r="236" spans="1:9" s="34" customFormat="1" x14ac:dyDescent="0.25">
      <c r="A236" s="41"/>
      <c r="C236" s="42"/>
      <c r="D236" s="43"/>
      <c r="G236" s="44"/>
      <c r="H236" s="44"/>
      <c r="I236" s="44"/>
    </row>
    <row r="237" spans="1:9" s="34" customFormat="1" x14ac:dyDescent="0.25">
      <c r="A237" s="41"/>
      <c r="C237" s="42"/>
      <c r="D237" s="43"/>
      <c r="G237" s="44"/>
      <c r="H237" s="44"/>
      <c r="I237" s="44"/>
    </row>
    <row r="238" spans="1:9" s="34" customFormat="1" x14ac:dyDescent="0.25">
      <c r="A238" s="41"/>
      <c r="C238" s="42"/>
      <c r="D238" s="43"/>
      <c r="G238" s="44"/>
      <c r="H238" s="44"/>
      <c r="I238" s="44"/>
    </row>
    <row r="239" spans="1:9" s="34" customFormat="1" x14ac:dyDescent="0.25">
      <c r="A239" s="41"/>
      <c r="C239" s="42"/>
      <c r="D239" s="43"/>
      <c r="G239" s="44"/>
      <c r="H239" s="44"/>
      <c r="I239" s="44"/>
    </row>
    <row r="240" spans="1:9" s="34" customFormat="1" x14ac:dyDescent="0.25">
      <c r="A240" s="41"/>
      <c r="C240" s="42"/>
      <c r="D240" s="43"/>
      <c r="G240" s="44"/>
      <c r="H240" s="44"/>
      <c r="I240" s="44"/>
    </row>
    <row r="241" spans="1:9" s="34" customFormat="1" x14ac:dyDescent="0.25">
      <c r="A241" s="41"/>
      <c r="C241" s="42"/>
      <c r="D241" s="43"/>
      <c r="G241" s="44"/>
      <c r="H241" s="44"/>
      <c r="I241" s="44"/>
    </row>
    <row r="242" spans="1:9" s="34" customFormat="1" x14ac:dyDescent="0.25">
      <c r="A242" s="41"/>
      <c r="C242" s="42"/>
      <c r="D242" s="43"/>
      <c r="G242" s="44"/>
      <c r="H242" s="44"/>
      <c r="I242" s="44"/>
    </row>
    <row r="243" spans="1:9" s="34" customFormat="1" x14ac:dyDescent="0.25">
      <c r="A243" s="41"/>
      <c r="C243" s="42"/>
      <c r="D243" s="43"/>
      <c r="G243" s="44"/>
      <c r="H243" s="44"/>
      <c r="I243" s="44"/>
    </row>
    <row r="244" spans="1:9" s="34" customFormat="1" x14ac:dyDescent="0.25">
      <c r="A244" s="41"/>
      <c r="C244" s="42"/>
      <c r="D244" s="43"/>
      <c r="G244" s="44"/>
      <c r="H244" s="44"/>
      <c r="I244" s="44"/>
    </row>
    <row r="245" spans="1:9" s="34" customFormat="1" x14ac:dyDescent="0.25">
      <c r="A245" s="41"/>
      <c r="C245" s="42"/>
      <c r="D245" s="43"/>
      <c r="G245" s="44"/>
      <c r="H245" s="44"/>
      <c r="I245" s="44"/>
    </row>
    <row r="246" spans="1:9" s="34" customFormat="1" x14ac:dyDescent="0.25">
      <c r="A246" s="41"/>
      <c r="C246" s="42"/>
      <c r="D246" s="43"/>
      <c r="G246" s="44"/>
      <c r="H246" s="44"/>
      <c r="I246" s="44"/>
    </row>
    <row r="247" spans="1:9" s="34" customFormat="1" x14ac:dyDescent="0.25">
      <c r="A247" s="41"/>
      <c r="C247" s="42"/>
      <c r="D247" s="43"/>
      <c r="G247" s="44"/>
      <c r="H247" s="44"/>
      <c r="I247" s="44"/>
    </row>
    <row r="248" spans="1:9" s="34" customFormat="1" x14ac:dyDescent="0.25">
      <c r="A248" s="41"/>
      <c r="C248" s="42"/>
      <c r="D248" s="43"/>
      <c r="G248" s="44"/>
      <c r="H248" s="44"/>
      <c r="I248" s="44"/>
    </row>
    <row r="249" spans="1:9" s="34" customFormat="1" x14ac:dyDescent="0.25">
      <c r="A249" s="41"/>
      <c r="C249" s="42"/>
      <c r="D249" s="43"/>
      <c r="G249" s="44"/>
      <c r="H249" s="44"/>
      <c r="I249" s="44"/>
    </row>
    <row r="250" spans="1:9" s="34" customFormat="1" x14ac:dyDescent="0.25">
      <c r="A250" s="41"/>
      <c r="C250" s="42"/>
      <c r="D250" s="43"/>
      <c r="G250" s="44"/>
      <c r="H250" s="44"/>
      <c r="I250" s="44"/>
    </row>
    <row r="251" spans="1:9" s="34" customFormat="1" x14ac:dyDescent="0.25">
      <c r="A251" s="41"/>
      <c r="C251" s="42"/>
      <c r="D251" s="43"/>
      <c r="G251" s="44"/>
      <c r="H251" s="44"/>
      <c r="I251" s="44"/>
    </row>
    <row r="252" spans="1:9" s="34" customFormat="1" x14ac:dyDescent="0.25">
      <c r="A252" s="41"/>
      <c r="C252" s="42"/>
      <c r="D252" s="43"/>
      <c r="G252" s="44"/>
      <c r="H252" s="44"/>
      <c r="I252" s="44"/>
    </row>
    <row r="253" spans="1:9" s="34" customFormat="1" x14ac:dyDescent="0.25">
      <c r="A253" s="41"/>
      <c r="C253" s="42"/>
      <c r="D253" s="43"/>
      <c r="G253" s="44"/>
      <c r="H253" s="44"/>
      <c r="I253" s="44"/>
    </row>
    <row r="254" spans="1:9" s="34" customFormat="1" x14ac:dyDescent="0.25">
      <c r="A254" s="41"/>
      <c r="C254" s="42"/>
      <c r="D254" s="43"/>
      <c r="G254" s="44"/>
      <c r="H254" s="44"/>
      <c r="I254" s="44"/>
    </row>
    <row r="255" spans="1:9" s="34" customFormat="1" x14ac:dyDescent="0.25">
      <c r="A255" s="41"/>
      <c r="C255" s="42"/>
      <c r="D255" s="43"/>
      <c r="G255" s="44"/>
      <c r="H255" s="44"/>
      <c r="I255" s="44"/>
    </row>
    <row r="256" spans="1:9" s="34" customFormat="1" x14ac:dyDescent="0.25">
      <c r="A256" s="41"/>
      <c r="C256" s="42"/>
      <c r="D256" s="43"/>
      <c r="G256" s="44"/>
      <c r="H256" s="44"/>
      <c r="I256" s="44"/>
    </row>
    <row r="257" spans="1:9" s="34" customFormat="1" x14ac:dyDescent="0.25">
      <c r="A257" s="41"/>
      <c r="C257" s="42"/>
      <c r="D257" s="43"/>
      <c r="G257" s="44"/>
      <c r="H257" s="44"/>
      <c r="I257" s="44"/>
    </row>
    <row r="258" spans="1:9" s="34" customFormat="1" x14ac:dyDescent="0.25">
      <c r="A258" s="41"/>
      <c r="C258" s="42"/>
      <c r="D258" s="43"/>
      <c r="G258" s="44"/>
      <c r="H258" s="44"/>
      <c r="I258" s="44"/>
    </row>
    <row r="259" spans="1:9" s="34" customFormat="1" x14ac:dyDescent="0.25">
      <c r="A259" s="41"/>
      <c r="C259" s="42"/>
      <c r="D259" s="43"/>
      <c r="G259" s="44"/>
      <c r="H259" s="44"/>
      <c r="I259" s="44"/>
    </row>
    <row r="260" spans="1:9" s="34" customFormat="1" x14ac:dyDescent="0.25">
      <c r="A260" s="41"/>
      <c r="C260" s="42"/>
      <c r="D260" s="43"/>
      <c r="G260" s="44"/>
      <c r="H260" s="44"/>
      <c r="I260" s="44"/>
    </row>
    <row r="261" spans="1:9" s="34" customFormat="1" x14ac:dyDescent="0.25">
      <c r="A261" s="41"/>
      <c r="C261" s="42"/>
      <c r="D261" s="43"/>
      <c r="G261" s="44"/>
      <c r="H261" s="44"/>
      <c r="I261" s="44"/>
    </row>
    <row r="262" spans="1:9" s="34" customFormat="1" x14ac:dyDescent="0.25">
      <c r="A262" s="41"/>
      <c r="C262" s="42"/>
      <c r="D262" s="43"/>
      <c r="G262" s="44"/>
      <c r="H262" s="44"/>
      <c r="I262" s="44"/>
    </row>
    <row r="263" spans="1:9" s="34" customFormat="1" x14ac:dyDescent="0.25">
      <c r="A263" s="41"/>
      <c r="C263" s="42"/>
      <c r="D263" s="43"/>
      <c r="G263" s="44"/>
      <c r="H263" s="44"/>
      <c r="I263" s="44"/>
    </row>
    <row r="264" spans="1:9" s="34" customFormat="1" x14ac:dyDescent="0.25">
      <c r="A264" s="41"/>
      <c r="C264" s="42"/>
      <c r="D264" s="43"/>
      <c r="G264" s="44"/>
      <c r="H264" s="44"/>
      <c r="I264" s="44"/>
    </row>
    <row r="265" spans="1:9" s="34" customFormat="1" x14ac:dyDescent="0.25">
      <c r="A265" s="41"/>
      <c r="C265" s="42"/>
      <c r="D265" s="43"/>
      <c r="G265" s="44"/>
      <c r="H265" s="44"/>
      <c r="I265" s="44"/>
    </row>
    <row r="266" spans="1:9" s="34" customFormat="1" x14ac:dyDescent="0.25">
      <c r="A266" s="41"/>
      <c r="C266" s="42"/>
      <c r="D266" s="43"/>
      <c r="G266" s="44"/>
      <c r="H266" s="44"/>
      <c r="I266" s="44"/>
    </row>
    <row r="267" spans="1:9" s="34" customFormat="1" x14ac:dyDescent="0.25">
      <c r="A267" s="41"/>
      <c r="C267" s="42"/>
      <c r="D267" s="43"/>
      <c r="G267" s="44"/>
      <c r="H267" s="44"/>
      <c r="I267" s="44"/>
    </row>
    <row r="268" spans="1:9" s="34" customFormat="1" x14ac:dyDescent="0.25">
      <c r="A268" s="41"/>
      <c r="C268" s="42"/>
      <c r="D268" s="43"/>
      <c r="G268" s="44"/>
      <c r="H268" s="44"/>
      <c r="I268" s="44"/>
    </row>
    <row r="269" spans="1:9" s="34" customFormat="1" x14ac:dyDescent="0.25">
      <c r="A269" s="41"/>
      <c r="C269" s="42"/>
      <c r="D269" s="43"/>
      <c r="G269" s="44"/>
      <c r="H269" s="44"/>
      <c r="I269" s="44"/>
    </row>
    <row r="270" spans="1:9" s="34" customFormat="1" x14ac:dyDescent="0.25">
      <c r="A270" s="41"/>
      <c r="C270" s="42"/>
      <c r="D270" s="43"/>
      <c r="G270" s="44"/>
      <c r="H270" s="44"/>
      <c r="I270" s="44"/>
    </row>
    <row r="271" spans="1:9" s="34" customFormat="1" x14ac:dyDescent="0.25">
      <c r="A271" s="41"/>
      <c r="C271" s="42"/>
      <c r="D271" s="43"/>
      <c r="G271" s="44"/>
      <c r="H271" s="44"/>
      <c r="I271" s="44"/>
    </row>
    <row r="272" spans="1:9" s="34" customFormat="1" x14ac:dyDescent="0.25">
      <c r="A272" s="41"/>
      <c r="C272" s="42"/>
      <c r="D272" s="43"/>
      <c r="G272" s="44"/>
      <c r="H272" s="44"/>
      <c r="I272" s="44"/>
    </row>
    <row r="273" spans="1:9" s="34" customFormat="1" x14ac:dyDescent="0.25">
      <c r="A273" s="41"/>
      <c r="C273" s="42"/>
      <c r="D273" s="43"/>
      <c r="G273" s="44"/>
      <c r="H273" s="44"/>
      <c r="I273" s="44"/>
    </row>
    <row r="274" spans="1:9" s="34" customFormat="1" x14ac:dyDescent="0.25">
      <c r="A274" s="41"/>
      <c r="C274" s="42"/>
      <c r="D274" s="43"/>
      <c r="G274" s="44"/>
      <c r="H274" s="44"/>
      <c r="I274" s="44"/>
    </row>
    <row r="275" spans="1:9" s="34" customFormat="1" x14ac:dyDescent="0.25">
      <c r="A275" s="41"/>
      <c r="C275" s="42"/>
      <c r="D275" s="43"/>
      <c r="G275" s="44"/>
      <c r="H275" s="44"/>
      <c r="I275" s="44"/>
    </row>
    <row r="276" spans="1:9" s="34" customFormat="1" x14ac:dyDescent="0.25">
      <c r="A276" s="41"/>
      <c r="C276" s="42"/>
      <c r="D276" s="43"/>
      <c r="G276" s="44"/>
      <c r="H276" s="44"/>
      <c r="I276" s="44"/>
    </row>
    <row r="277" spans="1:9" s="34" customFormat="1" x14ac:dyDescent="0.25">
      <c r="A277" s="41"/>
      <c r="C277" s="42"/>
      <c r="D277" s="43"/>
      <c r="G277" s="44"/>
      <c r="H277" s="44"/>
      <c r="I277" s="44"/>
    </row>
    <row r="278" spans="1:9" s="34" customFormat="1" x14ac:dyDescent="0.25">
      <c r="A278" s="41"/>
      <c r="C278" s="42"/>
      <c r="D278" s="43"/>
      <c r="G278" s="44"/>
      <c r="H278" s="44"/>
      <c r="I278" s="44"/>
    </row>
    <row r="279" spans="1:9" s="34" customFormat="1" x14ac:dyDescent="0.25">
      <c r="A279" s="41"/>
      <c r="C279" s="42"/>
      <c r="D279" s="43"/>
      <c r="G279" s="44"/>
      <c r="H279" s="44"/>
      <c r="I279" s="44"/>
    </row>
    <row r="280" spans="1:9" s="34" customFormat="1" x14ac:dyDescent="0.25">
      <c r="A280" s="41"/>
      <c r="C280" s="42"/>
      <c r="D280" s="43"/>
      <c r="G280" s="44"/>
      <c r="H280" s="44"/>
      <c r="I280" s="44"/>
    </row>
    <row r="281" spans="1:9" s="34" customFormat="1" x14ac:dyDescent="0.25">
      <c r="A281" s="41"/>
      <c r="C281" s="42"/>
      <c r="D281" s="43"/>
      <c r="G281" s="44"/>
      <c r="H281" s="44"/>
      <c r="I281" s="44"/>
    </row>
    <row r="282" spans="1:9" s="34" customFormat="1" x14ac:dyDescent="0.25">
      <c r="A282" s="41"/>
      <c r="C282" s="42"/>
      <c r="D282" s="43"/>
      <c r="G282" s="44"/>
      <c r="H282" s="44"/>
      <c r="I282" s="44"/>
    </row>
    <row r="283" spans="1:9" s="34" customFormat="1" x14ac:dyDescent="0.25">
      <c r="A283" s="41"/>
      <c r="C283" s="42"/>
      <c r="D283" s="43"/>
      <c r="G283" s="44"/>
      <c r="H283" s="44"/>
      <c r="I283" s="44"/>
    </row>
    <row r="284" spans="1:9" s="34" customFormat="1" x14ac:dyDescent="0.25">
      <c r="A284" s="41"/>
      <c r="C284" s="42"/>
      <c r="D284" s="43"/>
      <c r="G284" s="44"/>
      <c r="H284" s="44"/>
      <c r="I284" s="44"/>
    </row>
    <row r="285" spans="1:9" s="34" customFormat="1" x14ac:dyDescent="0.25">
      <c r="A285" s="41"/>
      <c r="C285" s="42"/>
      <c r="D285" s="43"/>
      <c r="G285" s="44"/>
      <c r="H285" s="44"/>
      <c r="I285" s="44"/>
    </row>
    <row r="286" spans="1:9" s="34" customFormat="1" x14ac:dyDescent="0.25">
      <c r="A286" s="41"/>
      <c r="C286" s="42"/>
      <c r="D286" s="43"/>
      <c r="G286" s="44"/>
      <c r="H286" s="44"/>
      <c r="I286" s="44"/>
    </row>
    <row r="287" spans="1:9" s="34" customFormat="1" x14ac:dyDescent="0.25">
      <c r="A287" s="41"/>
      <c r="C287" s="42"/>
      <c r="D287" s="43"/>
      <c r="G287" s="44"/>
      <c r="H287" s="44"/>
      <c r="I287" s="44"/>
    </row>
    <row r="288" spans="1:9" s="34" customFormat="1" x14ac:dyDescent="0.25">
      <c r="A288" s="41"/>
      <c r="C288" s="42"/>
      <c r="D288" s="43"/>
      <c r="G288" s="44"/>
      <c r="H288" s="44"/>
      <c r="I288" s="44"/>
    </row>
    <row r="289" spans="1:9" s="34" customFormat="1" x14ac:dyDescent="0.25">
      <c r="A289" s="41"/>
      <c r="C289" s="42"/>
      <c r="D289" s="43"/>
      <c r="G289" s="44"/>
      <c r="H289" s="44"/>
      <c r="I289" s="44"/>
    </row>
    <row r="290" spans="1:9" s="34" customFormat="1" x14ac:dyDescent="0.25">
      <c r="A290" s="41"/>
      <c r="C290" s="42"/>
      <c r="D290" s="43"/>
      <c r="G290" s="44"/>
      <c r="H290" s="44"/>
      <c r="I290" s="44"/>
    </row>
    <row r="291" spans="1:9" s="34" customFormat="1" x14ac:dyDescent="0.25">
      <c r="A291" s="41"/>
      <c r="C291" s="42"/>
      <c r="D291" s="43"/>
      <c r="G291" s="44"/>
      <c r="H291" s="44"/>
      <c r="I291" s="44"/>
    </row>
    <row r="292" spans="1:9" s="34" customFormat="1" x14ac:dyDescent="0.25">
      <c r="A292" s="41"/>
      <c r="C292" s="42"/>
      <c r="D292" s="43"/>
      <c r="G292" s="44"/>
      <c r="H292" s="44"/>
      <c r="I292" s="44"/>
    </row>
    <row r="293" spans="1:9" s="34" customFormat="1" x14ac:dyDescent="0.25">
      <c r="A293" s="41"/>
      <c r="C293" s="42"/>
      <c r="D293" s="43"/>
      <c r="G293" s="44"/>
      <c r="H293" s="44"/>
      <c r="I293" s="44"/>
    </row>
    <row r="294" spans="1:9" s="34" customFormat="1" x14ac:dyDescent="0.25">
      <c r="A294" s="41"/>
      <c r="C294" s="42"/>
      <c r="D294" s="43"/>
      <c r="G294" s="44"/>
      <c r="H294" s="44"/>
      <c r="I294" s="44"/>
    </row>
    <row r="295" spans="1:9" s="34" customFormat="1" x14ac:dyDescent="0.25">
      <c r="A295" s="41"/>
      <c r="C295" s="42"/>
      <c r="D295" s="43"/>
      <c r="G295" s="44"/>
      <c r="H295" s="44"/>
      <c r="I295" s="44"/>
    </row>
    <row r="296" spans="1:9" s="34" customFormat="1" x14ac:dyDescent="0.25">
      <c r="A296" s="41"/>
      <c r="C296" s="42"/>
      <c r="D296" s="43"/>
      <c r="G296" s="44"/>
      <c r="H296" s="44"/>
      <c r="I296" s="44"/>
    </row>
    <row r="297" spans="1:9" s="34" customFormat="1" x14ac:dyDescent="0.25">
      <c r="A297" s="41"/>
      <c r="C297" s="42"/>
      <c r="D297" s="43"/>
      <c r="G297" s="44"/>
      <c r="H297" s="44"/>
      <c r="I297" s="44"/>
    </row>
    <row r="298" spans="1:9" s="34" customFormat="1" x14ac:dyDescent="0.25">
      <c r="A298" s="41"/>
      <c r="C298" s="42"/>
      <c r="D298" s="43"/>
      <c r="G298" s="44"/>
      <c r="H298" s="44"/>
      <c r="I298" s="44"/>
    </row>
    <row r="299" spans="1:9" s="34" customFormat="1" x14ac:dyDescent="0.25">
      <c r="A299" s="41"/>
      <c r="C299" s="42"/>
      <c r="D299" s="43"/>
      <c r="G299" s="44"/>
      <c r="H299" s="44"/>
      <c r="I299" s="44"/>
    </row>
    <row r="300" spans="1:9" s="34" customFormat="1" x14ac:dyDescent="0.25">
      <c r="A300" s="41"/>
      <c r="C300" s="42"/>
      <c r="D300" s="43"/>
      <c r="G300" s="44"/>
      <c r="H300" s="44"/>
      <c r="I300" s="44"/>
    </row>
    <row r="301" spans="1:9" s="34" customFormat="1" x14ac:dyDescent="0.25">
      <c r="A301" s="41"/>
      <c r="C301" s="42"/>
      <c r="D301" s="43"/>
      <c r="G301" s="44"/>
      <c r="H301" s="44"/>
      <c r="I301" s="44"/>
    </row>
    <row r="302" spans="1:9" s="34" customFormat="1" x14ac:dyDescent="0.25">
      <c r="A302" s="41"/>
      <c r="C302" s="42"/>
      <c r="D302" s="43"/>
      <c r="G302" s="44"/>
      <c r="H302" s="44"/>
      <c r="I302" s="44"/>
    </row>
    <row r="303" spans="1:9" s="34" customFormat="1" x14ac:dyDescent="0.25">
      <c r="A303" s="41"/>
      <c r="C303" s="42"/>
      <c r="D303" s="43"/>
      <c r="G303" s="44"/>
      <c r="H303" s="44"/>
      <c r="I303" s="44"/>
    </row>
    <row r="304" spans="1:9" s="34" customFormat="1" x14ac:dyDescent="0.25">
      <c r="A304" s="41"/>
      <c r="C304" s="42"/>
      <c r="D304" s="43"/>
      <c r="G304" s="44"/>
      <c r="H304" s="44"/>
      <c r="I304" s="44"/>
    </row>
    <row r="305" spans="1:9" s="34" customFormat="1" x14ac:dyDescent="0.25">
      <c r="A305" s="41"/>
      <c r="C305" s="42"/>
      <c r="D305" s="43"/>
      <c r="G305" s="44"/>
      <c r="H305" s="44"/>
      <c r="I305" s="44"/>
    </row>
    <row r="306" spans="1:9" s="34" customFormat="1" x14ac:dyDescent="0.25">
      <c r="A306" s="41"/>
      <c r="C306" s="42"/>
      <c r="D306" s="43"/>
      <c r="G306" s="44"/>
      <c r="H306" s="44"/>
      <c r="I306" s="44"/>
    </row>
    <row r="307" spans="1:9" s="34" customFormat="1" x14ac:dyDescent="0.25">
      <c r="A307" s="41"/>
      <c r="C307" s="42"/>
      <c r="D307" s="43"/>
      <c r="G307" s="44"/>
      <c r="H307" s="44"/>
      <c r="I307" s="44"/>
    </row>
    <row r="308" spans="1:9" s="34" customFormat="1" x14ac:dyDescent="0.25">
      <c r="A308" s="41"/>
      <c r="C308" s="42"/>
      <c r="D308" s="43"/>
      <c r="G308" s="44"/>
      <c r="H308" s="44"/>
      <c r="I308" s="44"/>
    </row>
    <row r="309" spans="1:9" s="34" customFormat="1" x14ac:dyDescent="0.25">
      <c r="A309" s="41"/>
      <c r="C309" s="42"/>
      <c r="D309" s="43"/>
      <c r="G309" s="44"/>
      <c r="H309" s="44"/>
      <c r="I309" s="44"/>
    </row>
    <row r="310" spans="1:9" s="34" customFormat="1" x14ac:dyDescent="0.25">
      <c r="A310" s="41"/>
      <c r="C310" s="42"/>
      <c r="D310" s="43"/>
      <c r="G310" s="44"/>
      <c r="H310" s="44"/>
      <c r="I310" s="44"/>
    </row>
    <row r="311" spans="1:9" s="34" customFormat="1" x14ac:dyDescent="0.25">
      <c r="A311" s="41"/>
      <c r="C311" s="42"/>
      <c r="D311" s="43"/>
      <c r="G311" s="44"/>
      <c r="H311" s="44"/>
      <c r="I311" s="44"/>
    </row>
    <row r="312" spans="1:9" s="34" customFormat="1" x14ac:dyDescent="0.25">
      <c r="A312" s="41"/>
      <c r="C312" s="42"/>
      <c r="D312" s="43"/>
      <c r="G312" s="44"/>
      <c r="H312" s="44"/>
      <c r="I312" s="44"/>
    </row>
    <row r="313" spans="1:9" s="34" customFormat="1" x14ac:dyDescent="0.25">
      <c r="A313" s="41"/>
      <c r="C313" s="42"/>
      <c r="D313" s="43"/>
      <c r="G313" s="44"/>
      <c r="H313" s="44"/>
      <c r="I313" s="44"/>
    </row>
    <row r="314" spans="1:9" s="34" customFormat="1" x14ac:dyDescent="0.25">
      <c r="A314" s="41"/>
      <c r="C314" s="42"/>
      <c r="D314" s="43"/>
      <c r="G314" s="44"/>
      <c r="H314" s="44"/>
      <c r="I314" s="44"/>
    </row>
    <row r="315" spans="1:9" s="34" customFormat="1" x14ac:dyDescent="0.25">
      <c r="A315" s="41"/>
      <c r="C315" s="42"/>
      <c r="D315" s="43"/>
      <c r="G315" s="44"/>
      <c r="H315" s="44"/>
      <c r="I315" s="44"/>
    </row>
    <row r="316" spans="1:9" s="34" customFormat="1" x14ac:dyDescent="0.25">
      <c r="A316" s="41"/>
      <c r="C316" s="42"/>
      <c r="D316" s="43"/>
      <c r="G316" s="44"/>
      <c r="H316" s="44"/>
      <c r="I316" s="44"/>
    </row>
    <row r="317" spans="1:9" s="34" customFormat="1" x14ac:dyDescent="0.25">
      <c r="A317" s="41"/>
      <c r="C317" s="42"/>
      <c r="D317" s="43"/>
      <c r="G317" s="44"/>
      <c r="H317" s="44"/>
      <c r="I317" s="44"/>
    </row>
    <row r="318" spans="1:9" s="34" customFormat="1" x14ac:dyDescent="0.25">
      <c r="A318" s="41"/>
      <c r="C318" s="42"/>
      <c r="D318" s="43"/>
      <c r="G318" s="44"/>
      <c r="H318" s="44"/>
      <c r="I318" s="44"/>
    </row>
    <row r="319" spans="1:9" s="34" customFormat="1" x14ac:dyDescent="0.25">
      <c r="A319" s="41"/>
      <c r="C319" s="42"/>
      <c r="D319" s="43"/>
      <c r="G319" s="44"/>
      <c r="H319" s="44"/>
      <c r="I319" s="44"/>
    </row>
    <row r="320" spans="1:9" s="34" customFormat="1" x14ac:dyDescent="0.25">
      <c r="A320" s="41"/>
      <c r="C320" s="42"/>
      <c r="D320" s="43"/>
      <c r="G320" s="44"/>
      <c r="H320" s="44"/>
      <c r="I320" s="44"/>
    </row>
    <row r="321" spans="1:9" s="34" customFormat="1" x14ac:dyDescent="0.25">
      <c r="A321" s="41"/>
      <c r="C321" s="42"/>
      <c r="D321" s="43"/>
      <c r="G321" s="44"/>
      <c r="H321" s="44"/>
      <c r="I321" s="44"/>
    </row>
    <row r="322" spans="1:9" s="34" customFormat="1" x14ac:dyDescent="0.25">
      <c r="A322" s="41"/>
      <c r="C322" s="42"/>
      <c r="D322" s="43"/>
      <c r="G322" s="44"/>
      <c r="H322" s="44"/>
      <c r="I322" s="44"/>
    </row>
    <row r="323" spans="1:9" s="34" customFormat="1" x14ac:dyDescent="0.25">
      <c r="A323" s="41"/>
      <c r="C323" s="42"/>
      <c r="D323" s="43"/>
      <c r="G323" s="44"/>
      <c r="H323" s="44"/>
      <c r="I323" s="44"/>
    </row>
    <row r="324" spans="1:9" s="34" customFormat="1" x14ac:dyDescent="0.25">
      <c r="A324" s="41"/>
      <c r="C324" s="42"/>
      <c r="D324" s="43"/>
      <c r="G324" s="44"/>
      <c r="H324" s="44"/>
      <c r="I324" s="44"/>
    </row>
    <row r="325" spans="1:9" s="34" customFormat="1" x14ac:dyDescent="0.25">
      <c r="A325" s="41"/>
      <c r="C325" s="42"/>
      <c r="D325" s="43"/>
      <c r="G325" s="44"/>
      <c r="H325" s="44"/>
      <c r="I325" s="44"/>
    </row>
    <row r="326" spans="1:9" s="34" customFormat="1" x14ac:dyDescent="0.25">
      <c r="A326" s="41"/>
      <c r="C326" s="42"/>
      <c r="D326" s="43"/>
      <c r="G326" s="44"/>
      <c r="H326" s="44"/>
      <c r="I326" s="44"/>
    </row>
    <row r="327" spans="1:9" s="34" customFormat="1" x14ac:dyDescent="0.25">
      <c r="A327" s="41"/>
      <c r="C327" s="42"/>
      <c r="D327" s="43"/>
      <c r="G327" s="44"/>
      <c r="H327" s="44"/>
      <c r="I327" s="44"/>
    </row>
    <row r="328" spans="1:9" s="34" customFormat="1" x14ac:dyDescent="0.25">
      <c r="A328" s="41"/>
      <c r="C328" s="42"/>
      <c r="D328" s="43"/>
      <c r="G328" s="44"/>
      <c r="H328" s="44"/>
      <c r="I328" s="44"/>
    </row>
    <row r="329" spans="1:9" s="34" customFormat="1" x14ac:dyDescent="0.25">
      <c r="A329" s="41"/>
      <c r="C329" s="42"/>
      <c r="D329" s="43"/>
      <c r="G329" s="44"/>
      <c r="H329" s="44"/>
      <c r="I329" s="44"/>
    </row>
    <row r="330" spans="1:9" s="34" customFormat="1" x14ac:dyDescent="0.25">
      <c r="A330" s="41"/>
      <c r="C330" s="42"/>
      <c r="D330" s="43"/>
      <c r="G330" s="44"/>
      <c r="H330" s="44"/>
      <c r="I330" s="44"/>
    </row>
    <row r="331" spans="1:9" s="34" customFormat="1" x14ac:dyDescent="0.25">
      <c r="A331" s="41"/>
      <c r="C331" s="42"/>
      <c r="D331" s="43"/>
      <c r="G331" s="44"/>
      <c r="H331" s="44"/>
      <c r="I331" s="44"/>
    </row>
    <row r="332" spans="1:9" s="34" customFormat="1" x14ac:dyDescent="0.25">
      <c r="A332" s="41"/>
      <c r="C332" s="42"/>
      <c r="D332" s="43"/>
      <c r="G332" s="44"/>
      <c r="H332" s="44"/>
      <c r="I332" s="44"/>
    </row>
    <row r="333" spans="1:9" s="34" customFormat="1" x14ac:dyDescent="0.25">
      <c r="A333" s="41"/>
      <c r="C333" s="42"/>
      <c r="D333" s="43"/>
      <c r="G333" s="44"/>
      <c r="H333" s="44"/>
      <c r="I333" s="44"/>
    </row>
    <row r="334" spans="1:9" s="34" customFormat="1" x14ac:dyDescent="0.25">
      <c r="A334" s="41"/>
      <c r="C334" s="42"/>
      <c r="D334" s="43"/>
      <c r="G334" s="44"/>
      <c r="H334" s="44"/>
      <c r="I334" s="44"/>
    </row>
    <row r="335" spans="1:9" s="34" customFormat="1" x14ac:dyDescent="0.25">
      <c r="A335" s="41"/>
      <c r="C335" s="42"/>
      <c r="D335" s="43"/>
      <c r="G335" s="44"/>
      <c r="H335" s="44"/>
      <c r="I335" s="44"/>
    </row>
    <row r="336" spans="1:9" s="34" customFormat="1" x14ac:dyDescent="0.25">
      <c r="A336" s="41"/>
      <c r="C336" s="42"/>
      <c r="D336" s="43"/>
      <c r="G336" s="44"/>
      <c r="H336" s="44"/>
      <c r="I336" s="44"/>
    </row>
    <row r="337" spans="1:9" s="34" customFormat="1" x14ac:dyDescent="0.25">
      <c r="A337" s="41"/>
      <c r="C337" s="42"/>
      <c r="D337" s="43"/>
      <c r="G337" s="44"/>
      <c r="H337" s="44"/>
      <c r="I337" s="44"/>
    </row>
    <row r="338" spans="1:9" s="34" customFormat="1" x14ac:dyDescent="0.25">
      <c r="A338" s="41"/>
      <c r="C338" s="42"/>
      <c r="D338" s="43"/>
      <c r="G338" s="44"/>
      <c r="H338" s="44"/>
      <c r="I338" s="44"/>
    </row>
    <row r="339" spans="1:9" s="34" customFormat="1" x14ac:dyDescent="0.25">
      <c r="A339" s="41"/>
      <c r="C339" s="42"/>
      <c r="D339" s="43"/>
      <c r="G339" s="44"/>
      <c r="H339" s="44"/>
      <c r="I339" s="44"/>
    </row>
  </sheetData>
  <sheetProtection sheet="1" objects="1" scenarios="1" selectLockedCells="1"/>
  <mergeCells count="3">
    <mergeCell ref="A1:I3"/>
    <mergeCell ref="C4:I13"/>
    <mergeCell ref="A14:I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Loan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Oberabor</dc:creator>
  <cp:lastModifiedBy>Emmanuel Oberabor</cp:lastModifiedBy>
  <dcterms:created xsi:type="dcterms:W3CDTF">2025-11-15T08:05:56Z</dcterms:created>
  <dcterms:modified xsi:type="dcterms:W3CDTF">2025-11-15T09:29:07Z</dcterms:modified>
</cp:coreProperties>
</file>